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9011-15-11\Desktop\BDD\"/>
    </mc:Choice>
  </mc:AlternateContent>
  <bookViews>
    <workbookView xWindow="375" yWindow="-180" windowWidth="28035" windowHeight="12270" activeTab="2"/>
  </bookViews>
  <sheets>
    <sheet name="Station" sheetId="5" r:id="rId1"/>
    <sheet name="Chambre" sheetId="3" r:id="rId2"/>
    <sheet name="Reservations" sheetId="4" r:id="rId3"/>
    <sheet name="Client" sheetId="2" r:id="rId4"/>
    <sheet name="Hotel" sheetId="1" r:id="rId5"/>
  </sheets>
  <calcPr calcId="162913"/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E3" i="5"/>
  <c r="E4" i="5"/>
  <c r="E5" i="5"/>
  <c r="E6" i="5"/>
  <c r="E7" i="5"/>
  <c r="E8" i="5"/>
  <c r="E9" i="5"/>
  <c r="E2" i="5"/>
</calcChain>
</file>

<file path=xl/sharedStrings.xml><?xml version="1.0" encoding="utf-8"?>
<sst xmlns="http://schemas.openxmlformats.org/spreadsheetml/2006/main" count="264" uniqueCount="134">
  <si>
    <t>John</t>
  </si>
  <si>
    <t>Josh</t>
  </si>
  <si>
    <t>Palm Desert</t>
  </si>
  <si>
    <t>Weller</t>
  </si>
  <si>
    <t>Londres</t>
  </si>
  <si>
    <t>Jack</t>
  </si>
  <si>
    <t>Detroit</t>
  </si>
  <si>
    <t>Les</t>
  </si>
  <si>
    <t>San Francisco</t>
  </si>
  <si>
    <t>Chris</t>
  </si>
  <si>
    <t>Ronnie</t>
  </si>
  <si>
    <t>Johnny</t>
  </si>
  <si>
    <t>New York</t>
  </si>
  <si>
    <t>JEUNEMAITRE</t>
  </si>
  <si>
    <t>Eric</t>
  </si>
  <si>
    <t>KARAM</t>
  </si>
  <si>
    <t>Patrick</t>
  </si>
  <si>
    <t>RUFET</t>
  </si>
  <si>
    <t>Corinne</t>
  </si>
  <si>
    <t>Wallerand</t>
  </si>
  <si>
    <t>SANTINI</t>
  </si>
  <si>
    <t>Jean-Luc</t>
  </si>
  <si>
    <t>AIT</t>
  </si>
  <si>
    <t>Eddie</t>
  </si>
  <si>
    <t>BARBOTIN</t>
  </si>
  <si>
    <t>BERESSI</t>
  </si>
  <si>
    <t>Isabelle</t>
  </si>
  <si>
    <t>CAMARA</t>
  </si>
  <si>
    <t>Lamine</t>
  </si>
  <si>
    <t>CECCONI</t>
  </si>
  <si>
    <t>Frank</t>
  </si>
  <si>
    <t>CHEVRON</t>
  </si>
  <si>
    <t>CIUNTU</t>
  </si>
  <si>
    <t>Marie-Carole</t>
  </si>
  <si>
    <t>Le Magnifique</t>
  </si>
  <si>
    <t>rue du bas</t>
  </si>
  <si>
    <t>Pralo</t>
  </si>
  <si>
    <t>Hotel du haut</t>
  </si>
  <si>
    <t>rue du haut</t>
  </si>
  <si>
    <t>Le Narval</t>
  </si>
  <si>
    <t>place de la liberation</t>
  </si>
  <si>
    <t>Vonten</t>
  </si>
  <si>
    <t>Les Pissenlis</t>
  </si>
  <si>
    <t>place du 14 juillet</t>
  </si>
  <si>
    <t>Bretou</t>
  </si>
  <si>
    <t>RR Hotel</t>
  </si>
  <si>
    <t>place du bas</t>
  </si>
  <si>
    <t>La Brique</t>
  </si>
  <si>
    <t>place du haut</t>
  </si>
  <si>
    <t>Le Beau Rivage</t>
  </si>
  <si>
    <t>place du centre</t>
  </si>
  <si>
    <t>Toras</t>
  </si>
  <si>
    <t>1 Chemin des randonneurs</t>
  </si>
  <si>
    <t>Alpe d Huez</t>
  </si>
  <si>
    <t>2 Rue des sapins</t>
  </si>
  <si>
    <t>Areches</t>
  </si>
  <si>
    <t>7 Avenue de la neige</t>
  </si>
  <si>
    <t>Beaufort</t>
  </si>
  <si>
    <t>8 Chemin des pissenlits</t>
  </si>
  <si>
    <t>Aussois</t>
  </si>
  <si>
    <t>Chalets les marmottes</t>
  </si>
  <si>
    <t>10 Rue des etables</t>
  </si>
  <si>
    <t>Avoriaz</t>
  </si>
  <si>
    <t>Chalets les edelweiss</t>
  </si>
  <si>
    <t>8 Avenue des sapins</t>
  </si>
  <si>
    <t>Chalets les panoramas</t>
  </si>
  <si>
    <t>3 Chemin de la neige</t>
  </si>
  <si>
    <t>Chalets les sapins</t>
  </si>
  <si>
    <t>3 Rue des pissenlits</t>
  </si>
  <si>
    <t>La Montagne</t>
  </si>
  <si>
    <t>Le Sud</t>
  </si>
  <si>
    <t>La Plage</t>
  </si>
  <si>
    <t>Reservations</t>
  </si>
  <si>
    <t>Stations</t>
  </si>
  <si>
    <t>Nom de la station</t>
  </si>
  <si>
    <t>Altitude</t>
  </si>
  <si>
    <t>Hotel</t>
  </si>
  <si>
    <t>Station</t>
  </si>
  <si>
    <t>Nom</t>
  </si>
  <si>
    <t>Categorie</t>
  </si>
  <si>
    <t>Adresse</t>
  </si>
  <si>
    <t>Ville</t>
  </si>
  <si>
    <t>Client</t>
  </si>
  <si>
    <t>Prénom</t>
  </si>
  <si>
    <t>Chaville</t>
  </si>
  <si>
    <t>Rue Du General Leclerc</t>
  </si>
  <si>
    <t>Rue Danton</t>
  </si>
  <si>
    <t>Rue Hoche</t>
  </si>
  <si>
    <t>Allee Gustave Eiffel</t>
  </si>
  <si>
    <t>Rue Jean Pierre Timbaud</t>
  </si>
  <si>
    <t>Place Paul Vaillant Couturier</t>
  </si>
  <si>
    <t>Rue Ernest Renan</t>
  </si>
  <si>
    <t>Rue Georges Marie</t>
  </si>
  <si>
    <t>Boulevard Gallieni</t>
  </si>
  <si>
    <t>Esplanade Du Belvedere</t>
  </si>
  <si>
    <t>Rue Erevan</t>
  </si>
  <si>
    <t>Chambres</t>
  </si>
  <si>
    <t>Residence les marmottes</t>
  </si>
  <si>
    <t>Residence les edelweiss</t>
  </si>
  <si>
    <t>Residence les panoramas</t>
  </si>
  <si>
    <t>Residence les sapins</t>
  </si>
  <si>
    <t>Numero de chambre</t>
  </si>
  <si>
    <t>Capacite</t>
  </si>
  <si>
    <t>Type</t>
  </si>
  <si>
    <t>Date reservation</t>
  </si>
  <si>
    <t>Date debut sejour</t>
  </si>
  <si>
    <t>Date fin sejour</t>
  </si>
  <si>
    <t>Prix</t>
  </si>
  <si>
    <t>arrhes</t>
  </si>
  <si>
    <t>identifiant</t>
  </si>
  <si>
    <t xml:space="preserve">SAINT JUST </t>
  </si>
  <si>
    <t>DOE</t>
  </si>
  <si>
    <t>HOMME</t>
  </si>
  <si>
    <t>PAUL</t>
  </si>
  <si>
    <t>WHITE</t>
  </si>
  <si>
    <t>CLAYPOOL</t>
  </si>
  <si>
    <t>SQUIRE</t>
  </si>
  <si>
    <t>WOOD</t>
  </si>
  <si>
    <t>THUNDERS</t>
  </si>
  <si>
    <t>Chatenay Malabry</t>
  </si>
  <si>
    <t>Courbevoie</t>
  </si>
  <si>
    <t>Le Plessis Robinson</t>
  </si>
  <si>
    <t>Marnes La Coquette</t>
  </si>
  <si>
    <t>Antony</t>
  </si>
  <si>
    <t>Suresnes</t>
  </si>
  <si>
    <t>Meudon</t>
  </si>
  <si>
    <t>idStation</t>
  </si>
  <si>
    <t>idClient</t>
  </si>
  <si>
    <t>idHotel</t>
  </si>
  <si>
    <t>idChambre</t>
  </si>
  <si>
    <t>idReservation</t>
  </si>
  <si>
    <t>DateReservationOK</t>
  </si>
  <si>
    <t>DateDebutOK</t>
  </si>
  <si>
    <t>dateFinOK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</si>
</sst>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4" borderId="10" xfId="0" applyFill="1" applyBorder="1"/>
    <xf numFmtId="0" fontId="0" fillId="0" borderId="10" xfId="0" applyBorder="1"/>
    <xf numFmtId="0" fontId="0" fillId="33" borderId="10" xfId="0" applyFill="1" applyBorder="1"/>
    <xf numFmtId="0" fontId="0" fillId="34" borderId="11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8" sqref="E18"/>
    </sheetView>
  </sheetViews>
  <sheetFormatPr baseColWidth="10" defaultRowHeight="15" x14ac:dyDescent="0.25"/>
  <cols>
    <col min="2" max="3" width="23.5703125" bestFit="1" customWidth="1"/>
    <col min="4" max="4" width="24.85546875" bestFit="1" customWidth="1"/>
    <col min="5" max="5" width="25.5703125" bestFit="1" customWidth="1"/>
  </cols>
  <sheetData>
    <row r="1" spans="1:5" x14ac:dyDescent="0.25">
      <c r="A1" s="2" t="s">
        <v>73</v>
      </c>
      <c r="B1" s="4" t="s">
        <v>74</v>
      </c>
      <c r="C1" s="4" t="s">
        <v>75</v>
      </c>
      <c r="D1" s="4" t="s">
        <v>126</v>
      </c>
    </row>
    <row r="2" spans="1:5" x14ac:dyDescent="0.25">
      <c r="B2" s="5" t="s">
        <v>69</v>
      </c>
      <c r="C2" s="5">
        <v>2500</v>
      </c>
      <c r="D2" s="5">
        <v>1</v>
      </c>
      <c r="E2" t="str">
        <f>"INSERT INTO `stations`(`idStation`, `nomSation`, `altitudeStation`) VALUES ("&amp;D2&amp;","""&amp;B2&amp;""","&amp;C2&amp;");"</f>
        <v>INSERT INTO `stations`(`idStation`, `nomSation`, `altitudeStation`) VALUES (1,"La Montagne",2500);</v>
      </c>
    </row>
    <row r="3" spans="1:5" x14ac:dyDescent="0.25">
      <c r="B3" s="5" t="s">
        <v>70</v>
      </c>
      <c r="C3" s="5">
        <v>200</v>
      </c>
      <c r="D3" s="5">
        <v>2</v>
      </c>
      <c r="E3" t="str">
        <f t="shared" ref="E3:E9" si="0">"INSERT INTO `stations`(`idStation`, `nomSation`, `altitudeStation`) VALUES ("&amp;D3&amp;","""&amp;B3&amp;""","&amp;C3&amp;");"</f>
        <v>INSERT INTO `stations`(`idStation`, `nomSation`, `altitudeStation`) VALUES (2,"Le Sud",200);</v>
      </c>
    </row>
    <row r="4" spans="1:5" x14ac:dyDescent="0.25">
      <c r="B4" s="5" t="s">
        <v>71</v>
      </c>
      <c r="C4" s="5">
        <v>10</v>
      </c>
      <c r="D4" s="5">
        <v>3</v>
      </c>
      <c r="E4" t="str">
        <f t="shared" si="0"/>
        <v>INSERT INTO `stations`(`idStation`, `nomSation`, `altitudeStation`) VALUES (3,"La Plage",10);</v>
      </c>
    </row>
    <row r="5" spans="1:5" x14ac:dyDescent="0.25">
      <c r="B5" s="5" t="s">
        <v>53</v>
      </c>
      <c r="C5" s="5">
        <v>1860</v>
      </c>
      <c r="D5" s="5">
        <v>4</v>
      </c>
      <c r="E5" t="str">
        <f t="shared" si="0"/>
        <v>INSERT INTO `stations`(`idStation`, `nomSation`, `altitudeStation`) VALUES (4,"Alpe d Huez",1860);</v>
      </c>
    </row>
    <row r="6" spans="1:5" x14ac:dyDescent="0.25">
      <c r="B6" s="5" t="s">
        <v>55</v>
      </c>
      <c r="C6" s="5">
        <v>1200</v>
      </c>
      <c r="D6" s="5">
        <v>5</v>
      </c>
      <c r="E6" t="str">
        <f t="shared" si="0"/>
        <v>INSERT INTO `stations`(`idStation`, `nomSation`, `altitudeStation`) VALUES (5,"Areches",1200);</v>
      </c>
    </row>
    <row r="7" spans="1:5" x14ac:dyDescent="0.25">
      <c r="B7" s="5" t="s">
        <v>57</v>
      </c>
      <c r="C7" s="5">
        <v>1200</v>
      </c>
      <c r="D7" s="5">
        <v>6</v>
      </c>
      <c r="E7" t="str">
        <f t="shared" si="0"/>
        <v>INSERT INTO `stations`(`idStation`, `nomSation`, `altitudeStation`) VALUES (6,"Beaufort",1200);</v>
      </c>
    </row>
    <row r="8" spans="1:5" x14ac:dyDescent="0.25">
      <c r="B8" s="5" t="s">
        <v>59</v>
      </c>
      <c r="C8" s="5">
        <v>1500</v>
      </c>
      <c r="D8" s="5">
        <v>7</v>
      </c>
      <c r="E8" t="str">
        <f t="shared" si="0"/>
        <v>INSERT INTO `stations`(`idStation`, `nomSation`, `altitudeStation`) VALUES (7,"Aussois",1500);</v>
      </c>
    </row>
    <row r="9" spans="1:5" x14ac:dyDescent="0.25">
      <c r="B9" s="5" t="s">
        <v>62</v>
      </c>
      <c r="C9" s="5">
        <v>1800</v>
      </c>
      <c r="D9" s="5">
        <v>8</v>
      </c>
      <c r="E9" t="str">
        <f t="shared" si="0"/>
        <v>INSERT INTO `stations`(`idStation`, `nomSation`, `altitudeStation`) VALUES (8,"Avoriaz",1800);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N9" sqref="N9"/>
    </sheetView>
  </sheetViews>
  <sheetFormatPr baseColWidth="10" defaultColWidth="17.85546875" defaultRowHeight="15" x14ac:dyDescent="0.25"/>
  <cols>
    <col min="8" max="8" width="31.140625" customWidth="1"/>
  </cols>
  <sheetData>
    <row r="1" spans="1:8" x14ac:dyDescent="0.25">
      <c r="A1" s="6" t="s">
        <v>96</v>
      </c>
      <c r="B1" s="4" t="s">
        <v>109</v>
      </c>
      <c r="C1" s="4" t="s">
        <v>76</v>
      </c>
      <c r="D1" s="4" t="s">
        <v>101</v>
      </c>
      <c r="E1" s="4" t="s">
        <v>102</v>
      </c>
      <c r="F1" s="4" t="s">
        <v>103</v>
      </c>
      <c r="G1" s="4" t="s">
        <v>128</v>
      </c>
    </row>
    <row r="2" spans="1:8" x14ac:dyDescent="0.25">
      <c r="A2" s="5"/>
      <c r="B2" s="5">
        <v>1</v>
      </c>
      <c r="C2" s="5" t="s">
        <v>34</v>
      </c>
      <c r="D2" s="5">
        <v>101</v>
      </c>
      <c r="E2" s="5">
        <v>1</v>
      </c>
      <c r="F2" s="5">
        <v>1</v>
      </c>
      <c r="G2" s="5">
        <f>VLOOKUP(C2,Hotel!$C$2:$G$16,5,0)</f>
        <v>1</v>
      </c>
      <c r="H2" t="str">
        <f>"INSERT INTO `chambres`(`idChambre`, `numChambre`, `typeChambre`, `capaciteChambre`, `idHotel`) VALUES ("&amp;B2&amp;","&amp;D2&amp;","&amp;F2&amp;","&amp;E2&amp;","&amp;G2&amp;");"</f>
        <v>INSERT INTO `chambres`(`idChambre`, `numChambre`, `typeChambre`, `capaciteChambre`, `idHotel`) VALUES (1,101,1,1,1);</v>
      </c>
    </row>
    <row r="3" spans="1:8" x14ac:dyDescent="0.25">
      <c r="A3" s="5"/>
      <c r="B3" s="5">
        <v>2</v>
      </c>
      <c r="C3" s="5" t="s">
        <v>34</v>
      </c>
      <c r="D3" s="5">
        <v>102</v>
      </c>
      <c r="E3" s="5">
        <v>2</v>
      </c>
      <c r="F3" s="5">
        <v>1</v>
      </c>
      <c r="G3" s="5">
        <f>VLOOKUP(C3,Hotel!$C$2:$G$16,5,0)</f>
        <v>1</v>
      </c>
      <c r="H3" t="str">
        <f t="shared" ref="H3:H40" si="0">"INSERT INTO `chambres`(`idChambre`, `numChambre`, `typeChambre`, `capaciteChambre`, `idHotel`) VALUES ("&amp;B3&amp;","&amp;D3&amp;","&amp;F3&amp;","&amp;E3&amp;","&amp;G3&amp;");"</f>
        <v>INSERT INTO `chambres`(`idChambre`, `numChambre`, `typeChambre`, `capaciteChambre`, `idHotel`) VALUES (2,102,1,2,1);</v>
      </c>
    </row>
    <row r="4" spans="1:8" x14ac:dyDescent="0.25">
      <c r="A4" s="5"/>
      <c r="B4" s="5">
        <v>3</v>
      </c>
      <c r="C4" s="5" t="s">
        <v>34</v>
      </c>
      <c r="D4" s="5">
        <v>103</v>
      </c>
      <c r="E4" s="5">
        <v>1</v>
      </c>
      <c r="F4" s="5">
        <v>1</v>
      </c>
      <c r="G4" s="5">
        <f>VLOOKUP(C4,Hotel!$C$2:$G$16,5,0)</f>
        <v>1</v>
      </c>
      <c r="H4" t="str">
        <f t="shared" si="0"/>
        <v>INSERT INTO `chambres`(`idChambre`, `numChambre`, `typeChambre`, `capaciteChambre`, `idHotel`) VALUES (3,103,1,1,1);</v>
      </c>
    </row>
    <row r="5" spans="1:8" x14ac:dyDescent="0.25">
      <c r="A5" s="5"/>
      <c r="B5" s="5">
        <v>4</v>
      </c>
      <c r="C5" s="5" t="s">
        <v>37</v>
      </c>
      <c r="D5" s="5">
        <v>104</v>
      </c>
      <c r="E5" s="5">
        <v>2</v>
      </c>
      <c r="F5" s="5">
        <v>1</v>
      </c>
      <c r="G5" s="5">
        <f>VLOOKUP(C5,Hotel!$C$2:$G$16,5,0)</f>
        <v>2</v>
      </c>
      <c r="H5" t="str">
        <f t="shared" si="0"/>
        <v>INSERT INTO `chambres`(`idChambre`, `numChambre`, `typeChambre`, `capaciteChambre`, `idHotel`) VALUES (4,104,1,2,2);</v>
      </c>
    </row>
    <row r="6" spans="1:8" x14ac:dyDescent="0.25">
      <c r="A6" s="5"/>
      <c r="B6" s="5">
        <v>5</v>
      </c>
      <c r="C6" s="5" t="s">
        <v>37</v>
      </c>
      <c r="D6" s="5">
        <v>105</v>
      </c>
      <c r="E6" s="5">
        <v>2</v>
      </c>
      <c r="F6" s="5">
        <v>1</v>
      </c>
      <c r="G6" s="5">
        <f>VLOOKUP(C6,Hotel!$C$2:$G$16,5,0)</f>
        <v>2</v>
      </c>
      <c r="H6" t="str">
        <f t="shared" si="0"/>
        <v>INSERT INTO `chambres`(`idChambre`, `numChambre`, `typeChambre`, `capaciteChambre`, `idHotel`) VALUES (5,105,1,2,2);</v>
      </c>
    </row>
    <row r="7" spans="1:8" x14ac:dyDescent="0.25">
      <c r="A7" s="5"/>
      <c r="B7" s="5">
        <v>6</v>
      </c>
      <c r="C7" s="5" t="s">
        <v>37</v>
      </c>
      <c r="D7" s="5">
        <v>106</v>
      </c>
      <c r="E7" s="5">
        <v>1</v>
      </c>
      <c r="F7" s="5">
        <v>1</v>
      </c>
      <c r="G7" s="5">
        <f>VLOOKUP(C7,Hotel!$C$2:$G$16,5,0)</f>
        <v>2</v>
      </c>
      <c r="H7" t="str">
        <f t="shared" si="0"/>
        <v>INSERT INTO `chambres`(`idChambre`, `numChambre`, `typeChambre`, `capaciteChambre`, `idHotel`) VALUES (6,106,1,1,2);</v>
      </c>
    </row>
    <row r="8" spans="1:8" x14ac:dyDescent="0.25">
      <c r="A8" s="5"/>
      <c r="B8" s="5">
        <v>7</v>
      </c>
      <c r="C8" s="5" t="s">
        <v>39</v>
      </c>
      <c r="D8" s="5">
        <v>107</v>
      </c>
      <c r="E8" s="5">
        <v>3</v>
      </c>
      <c r="F8" s="5">
        <v>1</v>
      </c>
      <c r="G8" s="5">
        <f>VLOOKUP(C8,Hotel!$C$2:$G$16,5,0)</f>
        <v>3</v>
      </c>
      <c r="H8" t="str">
        <f t="shared" si="0"/>
        <v>INSERT INTO `chambres`(`idChambre`, `numChambre`, `typeChambre`, `capaciteChambre`, `idHotel`) VALUES (7,107,1,3,3);</v>
      </c>
    </row>
    <row r="9" spans="1:8" x14ac:dyDescent="0.25">
      <c r="A9" s="5"/>
      <c r="B9" s="5">
        <v>8</v>
      </c>
      <c r="C9" s="5" t="s">
        <v>39</v>
      </c>
      <c r="D9" s="5">
        <v>108</v>
      </c>
      <c r="E9" s="5">
        <v>1</v>
      </c>
      <c r="F9" s="5">
        <v>1</v>
      </c>
      <c r="G9" s="5">
        <f>VLOOKUP(C9,Hotel!$C$2:$G$16,5,0)</f>
        <v>3</v>
      </c>
      <c r="H9" t="str">
        <f t="shared" si="0"/>
        <v>INSERT INTO `chambres`(`idChambre`, `numChambre`, `typeChambre`, `capaciteChambre`, `idHotel`) VALUES (8,108,1,1,3);</v>
      </c>
    </row>
    <row r="10" spans="1:8" x14ac:dyDescent="0.25">
      <c r="A10" s="5"/>
      <c r="B10" s="5">
        <v>9</v>
      </c>
      <c r="C10" s="5" t="s">
        <v>39</v>
      </c>
      <c r="D10" s="5">
        <v>109</v>
      </c>
      <c r="E10" s="5">
        <v>2</v>
      </c>
      <c r="F10" s="5">
        <v>1</v>
      </c>
      <c r="G10" s="5">
        <f>VLOOKUP(C10,Hotel!$C$2:$G$16,5,0)</f>
        <v>3</v>
      </c>
      <c r="H10" t="str">
        <f t="shared" si="0"/>
        <v>INSERT INTO `chambres`(`idChambre`, `numChambre`, `typeChambre`, `capaciteChambre`, `idHotel`) VALUES (9,109,1,2,3);</v>
      </c>
    </row>
    <row r="11" spans="1:8" x14ac:dyDescent="0.25">
      <c r="A11" s="5"/>
      <c r="B11" s="5">
        <v>10</v>
      </c>
      <c r="C11" s="5" t="s">
        <v>42</v>
      </c>
      <c r="D11" s="5">
        <v>235</v>
      </c>
      <c r="E11" s="5">
        <v>1</v>
      </c>
      <c r="F11" s="5">
        <v>1</v>
      </c>
      <c r="G11" s="5">
        <f>VLOOKUP(C11,Hotel!$C$2:$G$16,5,0)</f>
        <v>4</v>
      </c>
      <c r="H11" t="str">
        <f t="shared" si="0"/>
        <v>INSERT INTO `chambres`(`idChambre`, `numChambre`, `typeChambre`, `capaciteChambre`, `idHotel`) VALUES (10,235,1,1,4);</v>
      </c>
    </row>
    <row r="12" spans="1:8" x14ac:dyDescent="0.25">
      <c r="A12" s="5"/>
      <c r="B12" s="5">
        <v>11</v>
      </c>
      <c r="C12" s="5" t="s">
        <v>42</v>
      </c>
      <c r="D12" s="5">
        <v>157</v>
      </c>
      <c r="E12" s="5">
        <v>1</v>
      </c>
      <c r="F12" s="5">
        <v>1</v>
      </c>
      <c r="G12" s="5">
        <f>VLOOKUP(C12,Hotel!$C$2:$G$16,5,0)</f>
        <v>4</v>
      </c>
      <c r="H12" t="str">
        <f t="shared" si="0"/>
        <v>INSERT INTO `chambres`(`idChambre`, `numChambre`, `typeChambre`, `capaciteChambre`, `idHotel`) VALUES (11,157,1,1,4);</v>
      </c>
    </row>
    <row r="13" spans="1:8" x14ac:dyDescent="0.25">
      <c r="A13" s="5"/>
      <c r="B13" s="5">
        <v>12</v>
      </c>
      <c r="C13" s="5" t="s">
        <v>49</v>
      </c>
      <c r="D13" s="5">
        <v>874</v>
      </c>
      <c r="E13" s="5">
        <v>1</v>
      </c>
      <c r="F13" s="5">
        <v>1</v>
      </c>
      <c r="G13" s="5">
        <f>VLOOKUP(C13,Hotel!$C$2:$G$16,5,0)</f>
        <v>7</v>
      </c>
      <c r="H13" t="str">
        <f t="shared" si="0"/>
        <v>INSERT INTO `chambres`(`idChambre`, `numChambre`, `typeChambre`, `capaciteChambre`, `idHotel`) VALUES (12,874,1,1,7);</v>
      </c>
    </row>
    <row r="14" spans="1:8" x14ac:dyDescent="0.25">
      <c r="A14" s="5"/>
      <c r="B14" s="5">
        <v>13</v>
      </c>
      <c r="C14" s="5" t="s">
        <v>49</v>
      </c>
      <c r="D14" s="5">
        <v>125</v>
      </c>
      <c r="E14" s="5">
        <v>5</v>
      </c>
      <c r="F14" s="5">
        <v>1</v>
      </c>
      <c r="G14" s="5">
        <f>VLOOKUP(C14,Hotel!$C$2:$G$16,5,0)</f>
        <v>7</v>
      </c>
      <c r="H14" t="str">
        <f t="shared" si="0"/>
        <v>INSERT INTO `chambres`(`idChambre`, `numChambre`, `typeChambre`, `capaciteChambre`, `idHotel`) VALUES (13,125,1,5,7);</v>
      </c>
    </row>
    <row r="15" spans="1:8" x14ac:dyDescent="0.25">
      <c r="A15" s="5"/>
      <c r="B15" s="5">
        <v>14</v>
      </c>
      <c r="C15" s="5" t="s">
        <v>47</v>
      </c>
      <c r="D15" s="5">
        <v>101</v>
      </c>
      <c r="E15" s="5">
        <v>3</v>
      </c>
      <c r="F15" s="5">
        <v>1</v>
      </c>
      <c r="G15" s="5">
        <f>VLOOKUP(C15,Hotel!$C$2:$G$16,5,0)</f>
        <v>6</v>
      </c>
      <c r="H15" t="str">
        <f t="shared" si="0"/>
        <v>INSERT INTO `chambres`(`idChambre`, `numChambre`, `typeChambre`, `capaciteChambre`, `idHotel`) VALUES (14,101,1,3,6);</v>
      </c>
    </row>
    <row r="16" spans="1:8" x14ac:dyDescent="0.25">
      <c r="A16" s="5"/>
      <c r="B16" s="5">
        <v>15</v>
      </c>
      <c r="C16" s="5" t="s">
        <v>47</v>
      </c>
      <c r="D16" s="5">
        <v>102</v>
      </c>
      <c r="E16" s="5">
        <v>3</v>
      </c>
      <c r="F16" s="5">
        <v>1</v>
      </c>
      <c r="G16" s="5">
        <f>VLOOKUP(C16,Hotel!$C$2:$G$16,5,0)</f>
        <v>6</v>
      </c>
      <c r="H16" t="str">
        <f t="shared" si="0"/>
        <v>INSERT INTO `chambres`(`idChambre`, `numChambre`, `typeChambre`, `capaciteChambre`, `idHotel`) VALUES (15,102,1,3,6);</v>
      </c>
    </row>
    <row r="17" spans="1:8" x14ac:dyDescent="0.25">
      <c r="A17" s="5"/>
      <c r="B17" s="5">
        <v>16</v>
      </c>
      <c r="C17" s="5" t="s">
        <v>99</v>
      </c>
      <c r="D17" s="5">
        <v>103</v>
      </c>
      <c r="E17" s="5">
        <v>2</v>
      </c>
      <c r="F17" s="5">
        <v>1</v>
      </c>
      <c r="G17" s="5">
        <f>VLOOKUP(C17,Hotel!$C$2:$G$16,5,0)</f>
        <v>10</v>
      </c>
      <c r="H17" t="str">
        <f t="shared" si="0"/>
        <v>INSERT INTO `chambres`(`idChambre`, `numChambre`, `typeChambre`, `capaciteChambre`, `idHotel`) VALUES (16,103,1,2,10);</v>
      </c>
    </row>
    <row r="18" spans="1:8" x14ac:dyDescent="0.25">
      <c r="A18" s="5"/>
      <c r="B18" s="5">
        <v>17</v>
      </c>
      <c r="C18" s="5" t="s">
        <v>67</v>
      </c>
      <c r="D18" s="5">
        <v>104</v>
      </c>
      <c r="E18" s="5">
        <v>3</v>
      </c>
      <c r="F18" s="5">
        <v>1</v>
      </c>
      <c r="G18" s="5">
        <f>VLOOKUP(C18,Hotel!$C$2:$G$16,5,0)</f>
        <v>15</v>
      </c>
      <c r="H18" t="str">
        <f t="shared" si="0"/>
        <v>INSERT INTO `chambres`(`idChambre`, `numChambre`, `typeChambre`, `capaciteChambre`, `idHotel`) VALUES (17,104,1,3,15);</v>
      </c>
    </row>
    <row r="19" spans="1:8" x14ac:dyDescent="0.25">
      <c r="A19" s="5"/>
      <c r="B19" s="5">
        <v>18</v>
      </c>
      <c r="C19" s="5" t="s">
        <v>47</v>
      </c>
      <c r="D19" s="5">
        <v>105</v>
      </c>
      <c r="E19" s="5">
        <v>3</v>
      </c>
      <c r="F19" s="5">
        <v>1</v>
      </c>
      <c r="G19" s="5">
        <f>VLOOKUP(C19,Hotel!$C$2:$G$16,5,0)</f>
        <v>6</v>
      </c>
      <c r="H19" t="str">
        <f t="shared" si="0"/>
        <v>INSERT INTO `chambres`(`idChambre`, `numChambre`, `typeChambre`, `capaciteChambre`, `idHotel`) VALUES (18,105,1,3,6);</v>
      </c>
    </row>
    <row r="20" spans="1:8" x14ac:dyDescent="0.25">
      <c r="A20" s="5"/>
      <c r="B20" s="5">
        <v>19</v>
      </c>
      <c r="C20" s="5" t="s">
        <v>67</v>
      </c>
      <c r="D20" s="5">
        <v>106</v>
      </c>
      <c r="E20" s="5">
        <v>1</v>
      </c>
      <c r="F20" s="5">
        <v>1</v>
      </c>
      <c r="G20" s="5">
        <f>VLOOKUP(C20,Hotel!$C$2:$G$16,5,0)</f>
        <v>15</v>
      </c>
      <c r="H20" t="str">
        <f t="shared" si="0"/>
        <v>INSERT INTO `chambres`(`idChambre`, `numChambre`, `typeChambre`, `capaciteChambre`, `idHotel`) VALUES (19,106,1,1,15);</v>
      </c>
    </row>
    <row r="21" spans="1:8" x14ac:dyDescent="0.25">
      <c r="A21" s="5"/>
      <c r="B21" s="5">
        <v>20</v>
      </c>
      <c r="C21" s="5" t="s">
        <v>100</v>
      </c>
      <c r="D21" s="5">
        <v>107</v>
      </c>
      <c r="E21" s="5">
        <v>1</v>
      </c>
      <c r="F21" s="5">
        <v>1</v>
      </c>
      <c r="G21" s="5">
        <f>VLOOKUP(C21,Hotel!$C$2:$G$16,5,0)</f>
        <v>11</v>
      </c>
      <c r="H21" t="str">
        <f t="shared" si="0"/>
        <v>INSERT INTO `chambres`(`idChambre`, `numChambre`, `typeChambre`, `capaciteChambre`, `idHotel`) VALUES (20,107,1,1,11);</v>
      </c>
    </row>
    <row r="22" spans="1:8" x14ac:dyDescent="0.25">
      <c r="A22" s="5"/>
      <c r="B22" s="5">
        <v>21</v>
      </c>
      <c r="C22" s="5" t="s">
        <v>63</v>
      </c>
      <c r="D22" s="5">
        <v>108</v>
      </c>
      <c r="E22" s="5">
        <v>2</v>
      </c>
      <c r="F22" s="5">
        <v>1</v>
      </c>
      <c r="G22" s="5">
        <f>VLOOKUP(C22,Hotel!$C$2:$G$16,5,0)</f>
        <v>13</v>
      </c>
      <c r="H22" t="str">
        <f t="shared" si="0"/>
        <v>INSERT INTO `chambres`(`idChambre`, `numChambre`, `typeChambre`, `capaciteChambre`, `idHotel`) VALUES (21,108,1,2,13);</v>
      </c>
    </row>
    <row r="23" spans="1:8" x14ac:dyDescent="0.25">
      <c r="A23" s="5"/>
      <c r="B23" s="5">
        <v>22</v>
      </c>
      <c r="C23" s="5" t="s">
        <v>99</v>
      </c>
      <c r="D23" s="5">
        <v>109</v>
      </c>
      <c r="E23" s="5">
        <v>2</v>
      </c>
      <c r="F23" s="5">
        <v>1</v>
      </c>
      <c r="G23" s="5">
        <f>VLOOKUP(C23,Hotel!$C$2:$G$16,5,0)</f>
        <v>10</v>
      </c>
      <c r="H23" t="str">
        <f t="shared" si="0"/>
        <v>INSERT INTO `chambres`(`idChambre`, `numChambre`, `typeChambre`, `capaciteChambre`, `idHotel`) VALUES (22,109,1,2,10);</v>
      </c>
    </row>
    <row r="24" spans="1:8" x14ac:dyDescent="0.25">
      <c r="A24" s="5"/>
      <c r="B24" s="5">
        <v>23</v>
      </c>
      <c r="C24" s="5" t="s">
        <v>60</v>
      </c>
      <c r="D24" s="5">
        <v>235</v>
      </c>
      <c r="E24" s="5">
        <v>3</v>
      </c>
      <c r="F24" s="5">
        <v>1</v>
      </c>
      <c r="G24" s="5">
        <f>VLOOKUP(C24,Hotel!$C$2:$G$16,5,0)</f>
        <v>12</v>
      </c>
      <c r="H24" t="str">
        <f t="shared" si="0"/>
        <v>INSERT INTO `chambres`(`idChambre`, `numChambre`, `typeChambre`, `capaciteChambre`, `idHotel`) VALUES (23,235,1,3,12);</v>
      </c>
    </row>
    <row r="25" spans="1:8" x14ac:dyDescent="0.25">
      <c r="A25" s="5"/>
      <c r="B25" s="5">
        <v>24</v>
      </c>
      <c r="C25" s="5" t="s">
        <v>100</v>
      </c>
      <c r="D25" s="5">
        <v>157</v>
      </c>
      <c r="E25" s="5">
        <v>1</v>
      </c>
      <c r="F25" s="5">
        <v>1</v>
      </c>
      <c r="G25" s="5">
        <f>VLOOKUP(C25,Hotel!$C$2:$G$16,5,0)</f>
        <v>11</v>
      </c>
      <c r="H25" t="str">
        <f t="shared" si="0"/>
        <v>INSERT INTO `chambres`(`idChambre`, `numChambre`, `typeChambre`, `capaciteChambre`, `idHotel`) VALUES (24,157,1,1,11);</v>
      </c>
    </row>
    <row r="26" spans="1:8" x14ac:dyDescent="0.25">
      <c r="A26" s="5"/>
      <c r="B26" s="5">
        <v>25</v>
      </c>
      <c r="C26" s="5" t="s">
        <v>49</v>
      </c>
      <c r="D26" s="5">
        <v>874</v>
      </c>
      <c r="E26" s="5">
        <v>2</v>
      </c>
      <c r="F26" s="5">
        <v>1</v>
      </c>
      <c r="G26" s="5">
        <f>VLOOKUP(C26,Hotel!$C$2:$G$16,5,0)</f>
        <v>7</v>
      </c>
      <c r="H26" t="str">
        <f t="shared" si="0"/>
        <v>INSERT INTO `chambres`(`idChambre`, `numChambre`, `typeChambre`, `capaciteChambre`, `idHotel`) VALUES (25,874,1,2,7);</v>
      </c>
    </row>
    <row r="27" spans="1:8" x14ac:dyDescent="0.25">
      <c r="A27" s="5"/>
      <c r="B27" s="5">
        <v>26</v>
      </c>
      <c r="C27" s="5" t="s">
        <v>98</v>
      </c>
      <c r="D27" s="5">
        <v>125</v>
      </c>
      <c r="E27" s="5">
        <v>1</v>
      </c>
      <c r="F27" s="5">
        <v>1</v>
      </c>
      <c r="G27" s="5">
        <f>VLOOKUP(C27,Hotel!$C$2:$G$16,5,0)</f>
        <v>9</v>
      </c>
      <c r="H27" t="str">
        <f t="shared" si="0"/>
        <v>INSERT INTO `chambres`(`idChambre`, `numChambre`, `typeChambre`, `capaciteChambre`, `idHotel`) VALUES (26,125,1,1,9);</v>
      </c>
    </row>
    <row r="28" spans="1:8" x14ac:dyDescent="0.25">
      <c r="A28" s="5"/>
      <c r="B28" s="5">
        <v>27</v>
      </c>
      <c r="C28" s="5" t="s">
        <v>97</v>
      </c>
      <c r="D28" s="5">
        <v>101</v>
      </c>
      <c r="E28" s="5">
        <v>3</v>
      </c>
      <c r="F28" s="5">
        <v>1</v>
      </c>
      <c r="G28" s="5">
        <f>VLOOKUP(C28,Hotel!$C$2:$G$16,5,0)</f>
        <v>8</v>
      </c>
      <c r="H28" t="str">
        <f t="shared" si="0"/>
        <v>INSERT INTO `chambres`(`idChambre`, `numChambre`, `typeChambre`, `capaciteChambre`, `idHotel`) VALUES (27,101,1,3,8);</v>
      </c>
    </row>
    <row r="29" spans="1:8" x14ac:dyDescent="0.25">
      <c r="A29" s="5"/>
      <c r="B29" s="5">
        <v>28</v>
      </c>
      <c r="C29" s="5" t="s">
        <v>67</v>
      </c>
      <c r="D29" s="5">
        <v>102</v>
      </c>
      <c r="E29" s="5">
        <v>3</v>
      </c>
      <c r="F29" s="5">
        <v>1</v>
      </c>
      <c r="G29" s="5">
        <f>VLOOKUP(C29,Hotel!$C$2:$G$16,5,0)</f>
        <v>15</v>
      </c>
      <c r="H29" t="str">
        <f t="shared" si="0"/>
        <v>INSERT INTO `chambres`(`idChambre`, `numChambre`, `typeChambre`, `capaciteChambre`, `idHotel`) VALUES (28,102,1,3,15);</v>
      </c>
    </row>
    <row r="30" spans="1:8" x14ac:dyDescent="0.25">
      <c r="A30" s="5"/>
      <c r="B30" s="5">
        <v>29</v>
      </c>
      <c r="C30" s="5" t="s">
        <v>100</v>
      </c>
      <c r="D30" s="5">
        <v>103</v>
      </c>
      <c r="E30" s="5">
        <v>1</v>
      </c>
      <c r="F30" s="5">
        <v>1</v>
      </c>
      <c r="G30" s="5">
        <f>VLOOKUP(C30,Hotel!$C$2:$G$16,5,0)</f>
        <v>11</v>
      </c>
      <c r="H30" t="str">
        <f t="shared" si="0"/>
        <v>INSERT INTO `chambres`(`idChambre`, `numChambre`, `typeChambre`, `capaciteChambre`, `idHotel`) VALUES (29,103,1,1,11);</v>
      </c>
    </row>
    <row r="31" spans="1:8" x14ac:dyDescent="0.25">
      <c r="A31" s="5"/>
      <c r="B31" s="5">
        <v>30</v>
      </c>
      <c r="C31" s="5" t="s">
        <v>100</v>
      </c>
      <c r="D31" s="5">
        <v>104</v>
      </c>
      <c r="E31" s="5">
        <v>1</v>
      </c>
      <c r="F31" s="5">
        <v>1</v>
      </c>
      <c r="G31" s="5">
        <f>VLOOKUP(C31,Hotel!$C$2:$G$16,5,0)</f>
        <v>11</v>
      </c>
      <c r="H31" t="str">
        <f t="shared" si="0"/>
        <v>INSERT INTO `chambres`(`idChambre`, `numChambre`, `typeChambre`, `capaciteChambre`, `idHotel`) VALUES (30,104,1,1,11);</v>
      </c>
    </row>
    <row r="32" spans="1:8" x14ac:dyDescent="0.25">
      <c r="A32" s="5"/>
      <c r="B32" s="5">
        <v>31</v>
      </c>
      <c r="C32" s="5" t="s">
        <v>63</v>
      </c>
      <c r="D32" s="5">
        <v>105</v>
      </c>
      <c r="E32" s="5">
        <v>1</v>
      </c>
      <c r="F32" s="5">
        <v>1</v>
      </c>
      <c r="G32" s="5">
        <f>VLOOKUP(C32,Hotel!$C$2:$G$16,5,0)</f>
        <v>13</v>
      </c>
      <c r="H32" t="str">
        <f t="shared" si="0"/>
        <v>INSERT INTO `chambres`(`idChambre`, `numChambre`, `typeChambre`, `capaciteChambre`, `idHotel`) VALUES (31,105,1,1,13);</v>
      </c>
    </row>
    <row r="33" spans="1:8" x14ac:dyDescent="0.25">
      <c r="A33" s="5"/>
      <c r="B33" s="5">
        <v>32</v>
      </c>
      <c r="C33" s="5" t="s">
        <v>67</v>
      </c>
      <c r="D33" s="5">
        <v>106</v>
      </c>
      <c r="E33" s="5">
        <v>2</v>
      </c>
      <c r="F33" s="5">
        <v>1</v>
      </c>
      <c r="G33" s="5">
        <f>VLOOKUP(C33,Hotel!$C$2:$G$16,5,0)</f>
        <v>15</v>
      </c>
      <c r="H33" t="str">
        <f t="shared" si="0"/>
        <v>INSERT INTO `chambres`(`idChambre`, `numChambre`, `typeChambre`, `capaciteChambre`, `idHotel`) VALUES (32,106,1,2,15);</v>
      </c>
    </row>
    <row r="34" spans="1:8" x14ac:dyDescent="0.25">
      <c r="A34" s="5"/>
      <c r="B34" s="5">
        <v>33</v>
      </c>
      <c r="C34" s="5" t="s">
        <v>60</v>
      </c>
      <c r="D34" s="5">
        <v>107</v>
      </c>
      <c r="E34" s="5">
        <v>2</v>
      </c>
      <c r="F34" s="5">
        <v>1</v>
      </c>
      <c r="G34" s="5">
        <f>VLOOKUP(C34,Hotel!$C$2:$G$16,5,0)</f>
        <v>12</v>
      </c>
      <c r="H34" t="str">
        <f t="shared" si="0"/>
        <v>INSERT INTO `chambres`(`idChambre`, `numChambre`, `typeChambre`, `capaciteChambre`, `idHotel`) VALUES (33,107,1,2,12);</v>
      </c>
    </row>
    <row r="35" spans="1:8" x14ac:dyDescent="0.25">
      <c r="A35" s="5"/>
      <c r="B35" s="5">
        <v>34</v>
      </c>
      <c r="C35" s="5" t="s">
        <v>98</v>
      </c>
      <c r="D35" s="5">
        <v>108</v>
      </c>
      <c r="E35" s="5">
        <v>1</v>
      </c>
      <c r="F35" s="5">
        <v>1</v>
      </c>
      <c r="G35" s="5">
        <f>VLOOKUP(C35,Hotel!$C$2:$G$16,5,0)</f>
        <v>9</v>
      </c>
      <c r="H35" t="str">
        <f t="shared" si="0"/>
        <v>INSERT INTO `chambres`(`idChambre`, `numChambre`, `typeChambre`, `capaciteChambre`, `idHotel`) VALUES (34,108,1,1,9);</v>
      </c>
    </row>
    <row r="36" spans="1:8" x14ac:dyDescent="0.25">
      <c r="A36" s="5"/>
      <c r="B36" s="5">
        <v>35</v>
      </c>
      <c r="C36" s="5" t="s">
        <v>63</v>
      </c>
      <c r="D36" s="5">
        <v>109</v>
      </c>
      <c r="E36" s="5">
        <v>3</v>
      </c>
      <c r="F36" s="5">
        <v>1</v>
      </c>
      <c r="G36" s="5">
        <f>VLOOKUP(C36,Hotel!$C$2:$G$16,5,0)</f>
        <v>13</v>
      </c>
      <c r="H36" t="str">
        <f t="shared" si="0"/>
        <v>INSERT INTO `chambres`(`idChambre`, `numChambre`, `typeChambre`, `capaciteChambre`, `idHotel`) VALUES (35,109,1,3,13);</v>
      </c>
    </row>
    <row r="37" spans="1:8" x14ac:dyDescent="0.25">
      <c r="A37" s="5"/>
      <c r="B37" s="5">
        <v>36</v>
      </c>
      <c r="C37" s="5" t="s">
        <v>97</v>
      </c>
      <c r="D37" s="5">
        <v>235</v>
      </c>
      <c r="E37" s="5">
        <v>3</v>
      </c>
      <c r="F37" s="5">
        <v>1</v>
      </c>
      <c r="G37" s="5">
        <f>VLOOKUP(C37,Hotel!$C$2:$G$16,5,0)</f>
        <v>8</v>
      </c>
      <c r="H37" t="str">
        <f t="shared" si="0"/>
        <v>INSERT INTO `chambres`(`idChambre`, `numChambre`, `typeChambre`, `capaciteChambre`, `idHotel`) VALUES (36,235,1,3,8);</v>
      </c>
    </row>
    <row r="38" spans="1:8" x14ac:dyDescent="0.25">
      <c r="A38" s="5"/>
      <c r="B38" s="5">
        <v>37</v>
      </c>
      <c r="C38" s="5" t="s">
        <v>65</v>
      </c>
      <c r="D38" s="5">
        <v>157</v>
      </c>
      <c r="E38" s="5">
        <v>3</v>
      </c>
      <c r="F38" s="5">
        <v>1</v>
      </c>
      <c r="G38" s="5">
        <f>VLOOKUP(C38,Hotel!$C$2:$G$16,5,0)</f>
        <v>14</v>
      </c>
      <c r="H38" t="str">
        <f t="shared" si="0"/>
        <v>INSERT INTO `chambres`(`idChambre`, `numChambre`, `typeChambre`, `capaciteChambre`, `idHotel`) VALUES (37,157,1,3,14);</v>
      </c>
    </row>
    <row r="39" spans="1:8" x14ac:dyDescent="0.25">
      <c r="A39" s="5"/>
      <c r="B39" s="5">
        <v>38</v>
      </c>
      <c r="C39" s="5" t="s">
        <v>97</v>
      </c>
      <c r="D39" s="5">
        <v>874</v>
      </c>
      <c r="E39" s="5">
        <v>1</v>
      </c>
      <c r="F39" s="5">
        <v>1</v>
      </c>
      <c r="G39" s="5">
        <f>VLOOKUP(C39,Hotel!$C$2:$G$16,5,0)</f>
        <v>8</v>
      </c>
      <c r="H39" t="str">
        <f t="shared" si="0"/>
        <v>INSERT INTO `chambres`(`idChambre`, `numChambre`, `typeChambre`, `capaciteChambre`, `idHotel`) VALUES (38,874,1,1,8);</v>
      </c>
    </row>
    <row r="40" spans="1:8" x14ac:dyDescent="0.25">
      <c r="A40" s="5"/>
      <c r="B40" s="5">
        <v>39</v>
      </c>
      <c r="C40" s="5" t="s">
        <v>99</v>
      </c>
      <c r="D40" s="5">
        <v>125</v>
      </c>
      <c r="E40" s="5">
        <v>2</v>
      </c>
      <c r="F40" s="5">
        <v>1</v>
      </c>
      <c r="G40" s="5">
        <f>VLOOKUP(C40,Hotel!$C$2:$G$16,5,0)</f>
        <v>10</v>
      </c>
      <c r="H40" t="str">
        <f t="shared" si="0"/>
        <v>INSERT INTO `chambres`(`idChambre`, `numChambre`, `typeChambre`, `capaciteChambre`, `idHotel`) VALUES (39,125,1,2,10);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topLeftCell="B1" workbookViewId="0">
      <selection activeCell="N2" sqref="N2:N40"/>
    </sheetView>
  </sheetViews>
  <sheetFormatPr baseColWidth="10" defaultRowHeight="15" x14ac:dyDescent="0.25"/>
  <cols>
    <col min="1" max="1" width="12.42578125" bestFit="1" customWidth="1"/>
    <col min="2" max="2" width="17.7109375" bestFit="1" customWidth="1"/>
    <col min="3" max="4" width="23.5703125" bestFit="1" customWidth="1"/>
    <col min="5" max="5" width="23.5703125" customWidth="1"/>
    <col min="6" max="6" width="17.5703125" customWidth="1"/>
    <col min="7" max="7" width="19.7109375" customWidth="1"/>
    <col min="8" max="9" width="17.85546875" customWidth="1"/>
    <col min="10" max="10" width="25.5703125" bestFit="1" customWidth="1"/>
    <col min="11" max="11" width="25.5703125" customWidth="1"/>
    <col min="14" max="14" width="20.140625" customWidth="1"/>
  </cols>
  <sheetData>
    <row r="1" spans="1:14" x14ac:dyDescent="0.25">
      <c r="A1" s="2" t="s">
        <v>72</v>
      </c>
      <c r="B1" s="3" t="s">
        <v>130</v>
      </c>
      <c r="C1" s="3" t="s">
        <v>129</v>
      </c>
      <c r="D1" s="3" t="s">
        <v>82</v>
      </c>
      <c r="E1" s="3" t="s">
        <v>127</v>
      </c>
      <c r="F1" t="s">
        <v>104</v>
      </c>
      <c r="G1" s="3" t="s">
        <v>131</v>
      </c>
      <c r="H1" t="s">
        <v>105</v>
      </c>
      <c r="I1" s="3" t="s">
        <v>132</v>
      </c>
      <c r="J1" t="s">
        <v>106</v>
      </c>
      <c r="K1" s="3" t="s">
        <v>133</v>
      </c>
      <c r="L1" t="s">
        <v>107</v>
      </c>
      <c r="M1" t="s">
        <v>108</v>
      </c>
    </row>
    <row r="2" spans="1:14" x14ac:dyDescent="0.25">
      <c r="B2">
        <v>4</v>
      </c>
      <c r="C2">
        <v>1</v>
      </c>
      <c r="D2" t="s">
        <v>113</v>
      </c>
      <c r="E2">
        <f>VLOOKUP(D2,Client!$B$2:$F$21,5,0)</f>
        <v>3</v>
      </c>
      <c r="F2" s="1">
        <v>43773.796511834531</v>
      </c>
      <c r="G2" s="1" t="str">
        <f>TEXT(F2,"aaaa-mm-jj")</f>
        <v>2019-11-04</v>
      </c>
      <c r="H2" s="1">
        <v>43782.62501025157</v>
      </c>
      <c r="I2" s="1" t="str">
        <f>TEXT(H2,"aaaa-mm-jj")</f>
        <v>2019-11-13</v>
      </c>
      <c r="J2" s="1">
        <v>43786.354144812714</v>
      </c>
      <c r="K2" s="1" t="str">
        <f>TEXT(J2,"aaaa-mm-jj")</f>
        <v>2019-11-17</v>
      </c>
      <c r="L2">
        <v>400</v>
      </c>
      <c r="M2">
        <v>50</v>
      </c>
      <c r="N2" t="str">
        <f>"INSERT INTO `reservations`(`idReservation`, `idChambre`, `idClient`, `dateReservation`, `dateDebutSejour`, `dateFinSejour`, `prixSejour`, `arrhes`) VALUES ("&amp;B2&amp;","&amp;C2&amp;","&amp;E2&amp;","""&amp;G2&amp;""","""&amp;I2&amp;""","""&amp;K2&amp;""","&amp;L2&amp;","&amp;M2&amp;");"</f>
        <v>INSERT INTO `reservations`(`idReservation`, `idChambre`, `idClient`, `dateReservation`, `dateDebutSejour`, `dateFinSejour`, `prixSejour`, `arrhes`) VALUES (4,1,3,"2019-11-04","2019-11-13","2019-11-17",400,50);</v>
      </c>
    </row>
    <row r="3" spans="1:14" x14ac:dyDescent="0.25">
      <c r="B3">
        <v>3</v>
      </c>
      <c r="C3">
        <v>1</v>
      </c>
      <c r="D3" t="s">
        <v>111</v>
      </c>
      <c r="E3">
        <f>VLOOKUP(D3,Client!$B$2:$F$21,5,0)</f>
        <v>1</v>
      </c>
      <c r="F3" s="1">
        <v>43575.34561282082</v>
      </c>
      <c r="G3" s="1" t="str">
        <f t="shared" ref="G3:G40" si="0">TEXT(F3,"aaaa-mm-jj")</f>
        <v>2019-04-20</v>
      </c>
      <c r="H3" s="1">
        <v>43592.884323879553</v>
      </c>
      <c r="I3" s="1" t="str">
        <f t="shared" ref="I3:I40" si="1">TEXT(H3,"aaaa-mm-jj")</f>
        <v>2019-05-07</v>
      </c>
      <c r="J3" s="1">
        <v>43594.663580799323</v>
      </c>
      <c r="K3" s="1" t="str">
        <f t="shared" ref="K3:K40" si="2">TEXT(J3,"aaaa-mm-jj")</f>
        <v>2019-05-09</v>
      </c>
      <c r="L3">
        <v>2400</v>
      </c>
      <c r="M3">
        <v>800</v>
      </c>
      <c r="N3" t="str">
        <f t="shared" ref="N3:N40" si="3">"INSERT INTO `reservations`(`idReservation`, `idChambre`, `idClient`, `dateReservation`, `dateDebutSejour`, `dateFinSejour`, `prixSejour`, `arrhes`) VALUES ("&amp;B3&amp;","&amp;C3&amp;","&amp;E3&amp;","""&amp;G3&amp;""","""&amp;I3&amp;""","""&amp;K3&amp;""","&amp;L3&amp;","&amp;M3&amp;");"</f>
        <v>INSERT INTO `reservations`(`idReservation`, `idChambre`, `idClient`, `dateReservation`, `dateDebutSejour`, `dateFinSejour`, `prixSejour`, `arrhes`) VALUES (3,1,1,"2019-04-20","2019-05-07","2019-05-09",2400,800);</v>
      </c>
    </row>
    <row r="4" spans="1:14" x14ac:dyDescent="0.25">
      <c r="B4">
        <v>5</v>
      </c>
      <c r="C4">
        <v>2</v>
      </c>
      <c r="D4" t="s">
        <v>112</v>
      </c>
      <c r="E4">
        <f>VLOOKUP(D4,Client!$B$2:$F$21,5,0)</f>
        <v>2</v>
      </c>
      <c r="F4" s="1">
        <v>43841.056756792081</v>
      </c>
      <c r="G4" s="1" t="str">
        <f t="shared" si="0"/>
        <v>2020-01-11</v>
      </c>
      <c r="H4" s="1">
        <v>43873.387060673849</v>
      </c>
      <c r="I4" s="1" t="str">
        <f t="shared" si="1"/>
        <v>2020-02-12</v>
      </c>
      <c r="J4" s="1">
        <v>43879.655554145684</v>
      </c>
      <c r="K4" s="1" t="str">
        <f t="shared" si="2"/>
        <v>2020-02-18</v>
      </c>
      <c r="L4">
        <v>3400</v>
      </c>
      <c r="M4">
        <v>100</v>
      </c>
      <c r="N4" t="str">
        <f t="shared" si="3"/>
        <v>INSERT INTO `reservations`(`idReservation`, `idChambre`, `idClient`, `dateReservation`, `dateDebutSejour`, `dateFinSejour`, `prixSejour`, `arrhes`) VALUES (5,2,2,"2020-01-11","2020-02-12","2020-02-18",3400,100);</v>
      </c>
    </row>
    <row r="5" spans="1:14" x14ac:dyDescent="0.25">
      <c r="B5">
        <v>6</v>
      </c>
      <c r="C5">
        <v>2</v>
      </c>
      <c r="D5" t="s">
        <v>114</v>
      </c>
      <c r="E5">
        <f>VLOOKUP(D5,Client!$B$2:$F$21,5,0)</f>
        <v>4</v>
      </c>
      <c r="F5" s="1">
        <v>43635.448679179171</v>
      </c>
      <c r="G5" s="1" t="str">
        <f t="shared" si="0"/>
        <v>2019-06-19</v>
      </c>
      <c r="H5" s="1">
        <v>43682.676707269959</v>
      </c>
      <c r="I5" s="1" t="str">
        <f t="shared" si="1"/>
        <v>2019-08-05</v>
      </c>
      <c r="J5" s="1">
        <v>43695.584964539645</v>
      </c>
      <c r="K5" s="1" t="str">
        <f t="shared" si="2"/>
        <v>2019-08-18</v>
      </c>
      <c r="L5">
        <v>7200</v>
      </c>
      <c r="M5">
        <v>180</v>
      </c>
      <c r="N5" t="str">
        <f t="shared" si="3"/>
        <v>INSERT INTO `reservations`(`idReservation`, `idChambre`, `idClient`, `dateReservation`, `dateDebutSejour`, `dateFinSejour`, `prixSejour`, `arrhes`) VALUES (6,2,4,"2019-06-19","2019-08-05","2019-08-18",7200,180);</v>
      </c>
    </row>
    <row r="6" spans="1:14" x14ac:dyDescent="0.25">
      <c r="B6">
        <v>7</v>
      </c>
      <c r="C6">
        <v>3</v>
      </c>
      <c r="D6" t="s">
        <v>115</v>
      </c>
      <c r="E6">
        <f>VLOOKUP(D6,Client!$B$2:$F$21,5,0)</f>
        <v>5</v>
      </c>
      <c r="F6" s="1">
        <v>43557.812914564543</v>
      </c>
      <c r="G6" s="1" t="str">
        <f t="shared" si="0"/>
        <v>2019-04-02</v>
      </c>
      <c r="H6" s="1">
        <v>43584.716760789597</v>
      </c>
      <c r="I6" s="1" t="str">
        <f t="shared" si="1"/>
        <v>2019-04-29</v>
      </c>
      <c r="J6" s="1">
        <v>43588.099829370003</v>
      </c>
      <c r="K6" s="1" t="str">
        <f t="shared" si="2"/>
        <v>2019-05-03</v>
      </c>
      <c r="L6">
        <v>1400</v>
      </c>
      <c r="M6">
        <v>450</v>
      </c>
      <c r="N6" t="str">
        <f t="shared" si="3"/>
        <v>INSERT INTO `reservations`(`idReservation`, `idChambre`, `idClient`, `dateReservation`, `dateDebutSejour`, `dateFinSejour`, `prixSejour`, `arrhes`) VALUES (7,3,5,"2019-04-02","2019-04-29","2019-05-03",1400,450);</v>
      </c>
    </row>
    <row r="7" spans="1:14" x14ac:dyDescent="0.25">
      <c r="B7">
        <v>8</v>
      </c>
      <c r="C7">
        <v>4</v>
      </c>
      <c r="D7" t="s">
        <v>116</v>
      </c>
      <c r="E7">
        <f>VLOOKUP(D7,Client!$B$2:$F$21,5,0)</f>
        <v>6</v>
      </c>
      <c r="F7" s="1">
        <v>43758.573031665983</v>
      </c>
      <c r="G7" s="1" t="str">
        <f t="shared" si="0"/>
        <v>2019-10-20</v>
      </c>
      <c r="H7" s="1">
        <v>43800.948470552248</v>
      </c>
      <c r="I7" s="1" t="str">
        <f t="shared" si="1"/>
        <v>2019-12-01</v>
      </c>
      <c r="J7" s="1">
        <v>43814.133372242926</v>
      </c>
      <c r="K7" s="1" t="str">
        <f t="shared" si="2"/>
        <v>2019-12-15</v>
      </c>
      <c r="L7">
        <v>2400</v>
      </c>
      <c r="M7">
        <v>780</v>
      </c>
      <c r="N7" t="str">
        <f t="shared" si="3"/>
        <v>INSERT INTO `reservations`(`idReservation`, `idChambre`, `idClient`, `dateReservation`, `dateDebutSejour`, `dateFinSejour`, `prixSejour`, `arrhes`) VALUES (8,4,6,"2019-10-20","2019-12-01","2019-12-15",2400,780);</v>
      </c>
    </row>
    <row r="8" spans="1:14" x14ac:dyDescent="0.25">
      <c r="B8">
        <v>9</v>
      </c>
      <c r="C8">
        <v>4</v>
      </c>
      <c r="D8" t="s">
        <v>116</v>
      </c>
      <c r="E8">
        <f>VLOOKUP(D8,Client!$B$2:$F$21,5,0)</f>
        <v>6</v>
      </c>
      <c r="F8" s="1">
        <v>43523.01846121678</v>
      </c>
      <c r="G8" s="1" t="str">
        <f t="shared" si="0"/>
        <v>2019-02-27</v>
      </c>
      <c r="H8" s="1">
        <v>43555.561690915551</v>
      </c>
      <c r="I8" s="1" t="str">
        <f t="shared" si="1"/>
        <v>2019-03-31</v>
      </c>
      <c r="J8" s="1">
        <v>43559.659462155192</v>
      </c>
      <c r="K8" s="1" t="str">
        <f t="shared" si="2"/>
        <v>2019-04-04</v>
      </c>
      <c r="L8">
        <v>500</v>
      </c>
      <c r="M8">
        <v>80</v>
      </c>
      <c r="N8" t="str">
        <f t="shared" si="3"/>
        <v>INSERT INTO `reservations`(`idReservation`, `idChambre`, `idClient`, `dateReservation`, `dateDebutSejour`, `dateFinSejour`, `prixSejour`, `arrhes`) VALUES (9,4,6,"2019-02-27","2019-03-31","2019-04-04",500,80);</v>
      </c>
    </row>
    <row r="9" spans="1:14" x14ac:dyDescent="0.25">
      <c r="B9">
        <v>10</v>
      </c>
      <c r="C9">
        <v>4</v>
      </c>
      <c r="D9" t="s">
        <v>118</v>
      </c>
      <c r="E9">
        <f>VLOOKUP(D9,Client!$B$2:$F$21,5,0)</f>
        <v>8</v>
      </c>
      <c r="F9" s="1">
        <v>43667.382417926099</v>
      </c>
      <c r="G9" s="1" t="str">
        <f t="shared" si="0"/>
        <v>2019-07-21</v>
      </c>
      <c r="H9" s="1">
        <v>43693.246396746777</v>
      </c>
      <c r="I9" s="1" t="str">
        <f t="shared" si="1"/>
        <v>2019-08-16</v>
      </c>
      <c r="J9" s="1">
        <v>43693.533942700582</v>
      </c>
      <c r="K9" s="1" t="str">
        <f t="shared" si="2"/>
        <v>2019-08-16</v>
      </c>
      <c r="L9">
        <v>40</v>
      </c>
      <c r="M9">
        <v>0</v>
      </c>
      <c r="N9" t="str">
        <f t="shared" si="3"/>
        <v>INSERT INTO `reservations`(`idReservation`, `idChambre`, `idClient`, `dateReservation`, `dateDebutSejour`, `dateFinSejour`, `prixSejour`, `arrhes`) VALUES (10,4,8,"2019-07-21","2019-08-16","2019-08-16",40,0);</v>
      </c>
    </row>
    <row r="10" spans="1:14" x14ac:dyDescent="0.25">
      <c r="B10">
        <v>11</v>
      </c>
      <c r="C10">
        <v>8</v>
      </c>
      <c r="D10" t="s">
        <v>24</v>
      </c>
      <c r="E10">
        <f>VLOOKUP(D10,Client!$B$2:$F$21,5,0)</f>
        <v>15</v>
      </c>
      <c r="F10" s="1">
        <v>43750.940082529749</v>
      </c>
      <c r="G10" s="1" t="str">
        <f t="shared" si="0"/>
        <v>2019-10-12</v>
      </c>
      <c r="H10" s="1">
        <v>43792.136592280811</v>
      </c>
      <c r="I10" s="1" t="str">
        <f t="shared" si="1"/>
        <v>2019-11-23</v>
      </c>
      <c r="J10" s="1">
        <v>43798.873962494414</v>
      </c>
      <c r="K10" s="1" t="str">
        <f t="shared" si="2"/>
        <v>2019-11-29</v>
      </c>
      <c r="L10">
        <v>580</v>
      </c>
      <c r="M10">
        <v>58</v>
      </c>
      <c r="N10" t="str">
        <f t="shared" si="3"/>
        <v>INSERT INTO `reservations`(`idReservation`, `idChambre`, `idClient`, `dateReservation`, `dateDebutSejour`, `dateFinSejour`, `prixSejour`, `arrhes`) VALUES (11,8,15,"2019-10-12","2019-11-23","2019-11-29",580,58);</v>
      </c>
    </row>
    <row r="11" spans="1:14" x14ac:dyDescent="0.25">
      <c r="B11">
        <v>12</v>
      </c>
      <c r="C11">
        <v>9</v>
      </c>
      <c r="D11" t="s">
        <v>27</v>
      </c>
      <c r="E11">
        <f>VLOOKUP(D11,Client!$B$2:$F$21,5,0)</f>
        <v>17</v>
      </c>
      <c r="F11" s="1">
        <v>43821.542511648418</v>
      </c>
      <c r="G11" s="1" t="str">
        <f t="shared" si="0"/>
        <v>2019-12-22</v>
      </c>
      <c r="H11" s="1">
        <v>43857.84873807081</v>
      </c>
      <c r="I11" s="1" t="str">
        <f t="shared" si="1"/>
        <v>2020-01-27</v>
      </c>
      <c r="J11" s="1">
        <v>43860.38558592488</v>
      </c>
      <c r="K11" s="1" t="str">
        <f t="shared" si="2"/>
        <v>2020-01-30</v>
      </c>
      <c r="L11">
        <v>140</v>
      </c>
      <c r="M11">
        <v>14</v>
      </c>
      <c r="N11" t="str">
        <f t="shared" si="3"/>
        <v>INSERT INTO `reservations`(`idReservation`, `idChambre`, `idClient`, `dateReservation`, `dateDebutSejour`, `dateFinSejour`, `prixSejour`, `arrhes`) VALUES (12,9,17,"2019-12-22","2020-01-27","2020-01-30",140,14);</v>
      </c>
    </row>
    <row r="12" spans="1:14" x14ac:dyDescent="0.25">
      <c r="B12">
        <v>13</v>
      </c>
      <c r="C12">
        <v>8</v>
      </c>
      <c r="D12" t="s">
        <v>24</v>
      </c>
      <c r="E12">
        <f>VLOOKUP(D12,Client!$B$2:$F$21,5,0)</f>
        <v>15</v>
      </c>
      <c r="F12" s="1">
        <v>43667.656301912313</v>
      </c>
      <c r="G12" s="1" t="str">
        <f t="shared" si="0"/>
        <v>2019-07-21</v>
      </c>
      <c r="H12" s="1">
        <v>43695.230586694852</v>
      </c>
      <c r="I12" s="1" t="str">
        <f t="shared" si="1"/>
        <v>2019-08-18</v>
      </c>
      <c r="J12" s="1">
        <v>43698.042408881774</v>
      </c>
      <c r="K12" s="1" t="str">
        <f t="shared" si="2"/>
        <v>2019-08-21</v>
      </c>
      <c r="L12">
        <v>360</v>
      </c>
      <c r="M12">
        <v>36</v>
      </c>
      <c r="N12" t="str">
        <f t="shared" si="3"/>
        <v>INSERT INTO `reservations`(`idReservation`, `idChambre`, `idClient`, `dateReservation`, `dateDebutSejour`, `dateFinSejour`, `prixSejour`, `arrhes`) VALUES (13,8,15,"2019-07-21","2019-08-18","2019-08-21",360,36);</v>
      </c>
    </row>
    <row r="13" spans="1:14" x14ac:dyDescent="0.25">
      <c r="B13">
        <v>14</v>
      </c>
      <c r="C13">
        <v>4</v>
      </c>
      <c r="D13" t="s">
        <v>32</v>
      </c>
      <c r="E13">
        <f>VLOOKUP(D13,Client!$B$2:$F$21,5,0)</f>
        <v>20</v>
      </c>
      <c r="F13" s="1">
        <v>43475.330180743913</v>
      </c>
      <c r="G13" s="1" t="str">
        <f t="shared" si="0"/>
        <v>2019-01-10</v>
      </c>
      <c r="H13" s="1">
        <v>43516.07683876199</v>
      </c>
      <c r="I13" s="1" t="str">
        <f t="shared" si="1"/>
        <v>2019-02-20</v>
      </c>
      <c r="J13" s="1">
        <v>43525.997274196918</v>
      </c>
      <c r="K13" s="1" t="str">
        <f t="shared" si="2"/>
        <v>2019-03-01</v>
      </c>
      <c r="L13">
        <v>1380</v>
      </c>
      <c r="M13">
        <v>138</v>
      </c>
      <c r="N13" t="str">
        <f t="shared" si="3"/>
        <v>INSERT INTO `reservations`(`idReservation`, `idChambre`, `idClient`, `dateReservation`, `dateDebutSejour`, `dateFinSejour`, `prixSejour`, `arrhes`) VALUES (14,4,20,"2019-01-10","2019-02-20","2019-03-01",1380,138);</v>
      </c>
    </row>
    <row r="14" spans="1:14" x14ac:dyDescent="0.25">
      <c r="B14">
        <v>15</v>
      </c>
      <c r="C14">
        <v>13</v>
      </c>
      <c r="D14" t="s">
        <v>25</v>
      </c>
      <c r="E14">
        <f>VLOOKUP(D14,Client!$B$2:$F$21,5,0)</f>
        <v>16</v>
      </c>
      <c r="F14" s="1">
        <v>43564.873513750012</v>
      </c>
      <c r="G14" s="1" t="str">
        <f t="shared" si="0"/>
        <v>2019-04-09</v>
      </c>
      <c r="H14" s="1">
        <v>43572.690538478986</v>
      </c>
      <c r="I14" s="1" t="str">
        <f t="shared" si="1"/>
        <v>2019-04-17</v>
      </c>
      <c r="J14" s="1">
        <v>43587.529526677245</v>
      </c>
      <c r="K14" s="1" t="str">
        <f t="shared" si="2"/>
        <v>2019-05-02</v>
      </c>
      <c r="L14">
        <v>420</v>
      </c>
      <c r="M14">
        <v>42</v>
      </c>
      <c r="N14" t="str">
        <f t="shared" si="3"/>
        <v>INSERT INTO `reservations`(`idReservation`, `idChambre`, `idClient`, `dateReservation`, `dateDebutSejour`, `dateFinSejour`, `prixSejour`, `arrhes`) VALUES (15,13,16,"2019-04-09","2019-04-17","2019-05-02",420,42);</v>
      </c>
    </row>
    <row r="15" spans="1:14" x14ac:dyDescent="0.25">
      <c r="B15">
        <v>16</v>
      </c>
      <c r="C15">
        <v>13</v>
      </c>
      <c r="D15" t="s">
        <v>25</v>
      </c>
      <c r="E15">
        <f>VLOOKUP(D15,Client!$B$2:$F$21,5,0)</f>
        <v>16</v>
      </c>
      <c r="F15" s="1">
        <v>43606.385566533034</v>
      </c>
      <c r="G15" s="1" t="str">
        <f t="shared" si="0"/>
        <v>2019-05-21</v>
      </c>
      <c r="H15" s="1">
        <v>43629.820513453815</v>
      </c>
      <c r="I15" s="1" t="str">
        <f t="shared" si="1"/>
        <v>2019-06-13</v>
      </c>
      <c r="J15" s="1">
        <v>43642.018577106945</v>
      </c>
      <c r="K15" s="1" t="str">
        <f t="shared" si="2"/>
        <v>2019-06-26</v>
      </c>
      <c r="L15">
        <v>360</v>
      </c>
      <c r="M15">
        <v>36</v>
      </c>
      <c r="N15" t="str">
        <f t="shared" si="3"/>
        <v>INSERT INTO `reservations`(`idReservation`, `idChambre`, `idClient`, `dateReservation`, `dateDebutSejour`, `dateFinSejour`, `prixSejour`, `arrhes`) VALUES (16,13,16,"2019-05-21","2019-06-13","2019-06-26",360,36);</v>
      </c>
    </row>
    <row r="16" spans="1:14" x14ac:dyDescent="0.25">
      <c r="B16">
        <v>17</v>
      </c>
      <c r="C16">
        <v>12</v>
      </c>
      <c r="D16" t="s">
        <v>111</v>
      </c>
      <c r="E16">
        <f>VLOOKUP(D16,Client!$B$2:$F$21,5,0)</f>
        <v>1</v>
      </c>
      <c r="F16" s="1">
        <v>43672.430491541199</v>
      </c>
      <c r="G16" s="1" t="str">
        <f t="shared" si="0"/>
        <v>2019-07-26</v>
      </c>
      <c r="H16" s="1">
        <v>43686.057829922291</v>
      </c>
      <c r="I16" s="1" t="str">
        <f t="shared" si="1"/>
        <v>2019-08-09</v>
      </c>
      <c r="J16" s="1">
        <v>43697.162808878282</v>
      </c>
      <c r="K16" s="1" t="str">
        <f t="shared" si="2"/>
        <v>2019-08-20</v>
      </c>
      <c r="L16">
        <v>680</v>
      </c>
      <c r="M16">
        <v>68</v>
      </c>
      <c r="N16" t="str">
        <f t="shared" si="3"/>
        <v>INSERT INTO `reservations`(`idReservation`, `idChambre`, `idClient`, `dateReservation`, `dateDebutSejour`, `dateFinSejour`, `prixSejour`, `arrhes`) VALUES (17,12,1,"2019-07-26","2019-08-09","2019-08-20",680,68);</v>
      </c>
    </row>
    <row r="17" spans="2:14" x14ac:dyDescent="0.25">
      <c r="B17">
        <v>18</v>
      </c>
      <c r="C17">
        <v>21</v>
      </c>
      <c r="D17" t="s">
        <v>24</v>
      </c>
      <c r="E17">
        <f>VLOOKUP(D17,Client!$B$2:$F$21,5,0)</f>
        <v>15</v>
      </c>
      <c r="F17" s="1">
        <v>43798.264098343352</v>
      </c>
      <c r="G17" s="1" t="str">
        <f t="shared" si="0"/>
        <v>2019-11-29</v>
      </c>
      <c r="H17" s="1">
        <v>43799.286017738712</v>
      </c>
      <c r="I17" s="1" t="str">
        <f t="shared" si="1"/>
        <v>2019-11-30</v>
      </c>
      <c r="J17" s="1">
        <v>43813.138479234738</v>
      </c>
      <c r="K17" s="1" t="str">
        <f t="shared" si="2"/>
        <v>2019-12-14</v>
      </c>
      <c r="L17">
        <v>1280</v>
      </c>
      <c r="M17">
        <v>128</v>
      </c>
      <c r="N17" t="str">
        <f t="shared" si="3"/>
        <v>INSERT INTO `reservations`(`idReservation`, `idChambre`, `idClient`, `dateReservation`, `dateDebutSejour`, `dateFinSejour`, `prixSejour`, `arrhes`) VALUES (18,21,15,"2019-11-29","2019-11-30","2019-12-14",1280,128);</v>
      </c>
    </row>
    <row r="18" spans="2:14" x14ac:dyDescent="0.25">
      <c r="B18">
        <v>19</v>
      </c>
      <c r="C18">
        <v>14</v>
      </c>
      <c r="D18" t="s">
        <v>31</v>
      </c>
      <c r="E18">
        <f>VLOOKUP(D18,Client!$B$2:$F$21,5,0)</f>
        <v>19</v>
      </c>
      <c r="F18" s="1">
        <v>43536.069748215785</v>
      </c>
      <c r="G18" s="1" t="str">
        <f t="shared" si="0"/>
        <v>2019-03-12</v>
      </c>
      <c r="H18" s="1">
        <v>43561.05941891847</v>
      </c>
      <c r="I18" s="1" t="str">
        <f t="shared" si="1"/>
        <v>2019-04-06</v>
      </c>
      <c r="J18" s="1">
        <v>43564.994393935405</v>
      </c>
      <c r="K18" s="1" t="str">
        <f t="shared" si="2"/>
        <v>2019-04-09</v>
      </c>
      <c r="L18">
        <v>420</v>
      </c>
      <c r="M18">
        <v>42</v>
      </c>
      <c r="N18" t="str">
        <f t="shared" si="3"/>
        <v>INSERT INTO `reservations`(`idReservation`, `idChambre`, `idClient`, `dateReservation`, `dateDebutSejour`, `dateFinSejour`, `prixSejour`, `arrhes`) VALUES (19,14,19,"2019-03-12","2019-04-06","2019-04-09",420,42);</v>
      </c>
    </row>
    <row r="19" spans="2:14" x14ac:dyDescent="0.25">
      <c r="B19">
        <v>20</v>
      </c>
      <c r="C19">
        <v>24</v>
      </c>
      <c r="D19" t="s">
        <v>110</v>
      </c>
      <c r="E19">
        <f>VLOOKUP(D19,Client!$B$2:$F$21,5,0)</f>
        <v>12</v>
      </c>
      <c r="F19" s="1">
        <v>43482.193316909375</v>
      </c>
      <c r="G19" s="1" t="str">
        <f t="shared" si="0"/>
        <v>2019-01-17</v>
      </c>
      <c r="H19" s="1">
        <v>43489.819058679146</v>
      </c>
      <c r="I19" s="1" t="str">
        <f t="shared" si="1"/>
        <v>2019-01-24</v>
      </c>
      <c r="J19" s="1">
        <v>43493.263885665991</v>
      </c>
      <c r="K19" s="1" t="str">
        <f t="shared" si="2"/>
        <v>2019-01-28</v>
      </c>
      <c r="L19">
        <v>260</v>
      </c>
      <c r="M19">
        <v>26</v>
      </c>
      <c r="N19" t="str">
        <f t="shared" si="3"/>
        <v>INSERT INTO `reservations`(`idReservation`, `idChambre`, `idClient`, `dateReservation`, `dateDebutSejour`, `dateFinSejour`, `prixSejour`, `arrhes`) VALUES (20,24,12,"2019-01-17","2019-01-24","2019-01-28",260,26);</v>
      </c>
    </row>
    <row r="20" spans="2:14" x14ac:dyDescent="0.25">
      <c r="B20">
        <v>21</v>
      </c>
      <c r="C20">
        <v>12</v>
      </c>
      <c r="D20" t="s">
        <v>13</v>
      </c>
      <c r="E20">
        <f>VLOOKUP(D20,Client!$B$2:$F$21,5,0)</f>
        <v>9</v>
      </c>
      <c r="F20" s="1">
        <v>43832.638645833336</v>
      </c>
      <c r="G20" s="1" t="str">
        <f t="shared" si="0"/>
        <v>2020-01-02</v>
      </c>
      <c r="H20" s="1">
        <v>43876.710424709978</v>
      </c>
      <c r="I20" s="1" t="str">
        <f t="shared" si="1"/>
        <v>2020-02-15</v>
      </c>
      <c r="J20" s="1">
        <v>43885.364807232727</v>
      </c>
      <c r="K20" s="1" t="str">
        <f t="shared" si="2"/>
        <v>2020-02-24</v>
      </c>
      <c r="L20">
        <v>1380</v>
      </c>
      <c r="M20">
        <v>138</v>
      </c>
      <c r="N20" t="str">
        <f t="shared" si="3"/>
        <v>INSERT INTO `reservations`(`idReservation`, `idChambre`, `idClient`, `dateReservation`, `dateDebutSejour`, `dateFinSejour`, `prixSejour`, `arrhes`) VALUES (21,12,9,"2020-01-02","2020-02-15","2020-02-24",1380,138);</v>
      </c>
    </row>
    <row r="21" spans="2:14" x14ac:dyDescent="0.25">
      <c r="B21">
        <v>22</v>
      </c>
      <c r="C21">
        <v>4</v>
      </c>
      <c r="D21" t="s">
        <v>110</v>
      </c>
      <c r="E21">
        <f>VLOOKUP(D21,Client!$B$2:$F$21,5,0)</f>
        <v>12</v>
      </c>
      <c r="F21" s="1">
        <v>43718.284730413368</v>
      </c>
      <c r="G21" s="1" t="str">
        <f t="shared" si="0"/>
        <v>2019-09-10</v>
      </c>
      <c r="H21" s="1">
        <v>43732.55733562621</v>
      </c>
      <c r="I21" s="1" t="str">
        <f t="shared" si="1"/>
        <v>2019-09-24</v>
      </c>
      <c r="J21" s="1">
        <v>43739.313131747491</v>
      </c>
      <c r="K21" s="1" t="str">
        <f t="shared" si="2"/>
        <v>2019-10-01</v>
      </c>
      <c r="L21">
        <v>1430</v>
      </c>
      <c r="M21">
        <v>143</v>
      </c>
      <c r="N21" t="str">
        <f t="shared" si="3"/>
        <v>INSERT INTO `reservations`(`idReservation`, `idChambre`, `idClient`, `dateReservation`, `dateDebutSejour`, `dateFinSejour`, `prixSejour`, `arrhes`) VALUES (22,4,12,"2019-09-10","2019-09-24","2019-10-01",1430,143);</v>
      </c>
    </row>
    <row r="22" spans="2:14" x14ac:dyDescent="0.25">
      <c r="B22">
        <v>23</v>
      </c>
      <c r="C22">
        <v>23</v>
      </c>
      <c r="D22" t="s">
        <v>111</v>
      </c>
      <c r="E22">
        <f>VLOOKUP(D22,Client!$B$2:$F$21,5,0)</f>
        <v>1</v>
      </c>
      <c r="F22" s="1">
        <v>43596.046420362851</v>
      </c>
      <c r="G22" s="1" t="str">
        <f t="shared" si="0"/>
        <v>2019-05-11</v>
      </c>
      <c r="H22" s="1">
        <v>43626.590765845191</v>
      </c>
      <c r="I22" s="1" t="str">
        <f t="shared" si="1"/>
        <v>2019-06-10</v>
      </c>
      <c r="J22" s="1">
        <v>43630.056295794551</v>
      </c>
      <c r="K22" s="1" t="str">
        <f t="shared" si="2"/>
        <v>2019-06-14</v>
      </c>
      <c r="L22">
        <v>820</v>
      </c>
      <c r="M22">
        <v>82</v>
      </c>
      <c r="N22" t="str">
        <f t="shared" si="3"/>
        <v>INSERT INTO `reservations`(`idReservation`, `idChambre`, `idClient`, `dateReservation`, `dateDebutSejour`, `dateFinSejour`, `prixSejour`, `arrhes`) VALUES (23,23,1,"2019-05-11","2019-06-10","2019-06-14",820,82);</v>
      </c>
    </row>
    <row r="23" spans="2:14" x14ac:dyDescent="0.25">
      <c r="B23">
        <v>24</v>
      </c>
      <c r="C23">
        <v>10</v>
      </c>
      <c r="D23" t="s">
        <v>17</v>
      </c>
      <c r="E23">
        <f>VLOOKUP(D23,Client!$B$2:$F$21,5,0)</f>
        <v>11</v>
      </c>
      <c r="F23" s="1">
        <v>43759.19295784417</v>
      </c>
      <c r="G23" s="1" t="str">
        <f t="shared" si="0"/>
        <v>2019-10-21</v>
      </c>
      <c r="H23" s="1">
        <v>43762.872494197749</v>
      </c>
      <c r="I23" s="1" t="str">
        <f t="shared" si="1"/>
        <v>2019-10-24</v>
      </c>
      <c r="J23" s="1">
        <v>43769.739087977614</v>
      </c>
      <c r="K23" s="1" t="str">
        <f t="shared" si="2"/>
        <v>2019-10-31</v>
      </c>
      <c r="L23">
        <v>650</v>
      </c>
      <c r="M23">
        <v>65</v>
      </c>
      <c r="N23" t="str">
        <f t="shared" si="3"/>
        <v>INSERT INTO `reservations`(`idReservation`, `idChambre`, `idClient`, `dateReservation`, `dateDebutSejour`, `dateFinSejour`, `prixSejour`, `arrhes`) VALUES (24,10,11,"2019-10-21","2019-10-24","2019-10-31",650,65);</v>
      </c>
    </row>
    <row r="24" spans="2:14" x14ac:dyDescent="0.25">
      <c r="B24">
        <v>25</v>
      </c>
      <c r="C24">
        <v>20</v>
      </c>
      <c r="D24" t="s">
        <v>22</v>
      </c>
      <c r="E24">
        <f>VLOOKUP(D24,Client!$B$2:$F$21,5,0)</f>
        <v>14</v>
      </c>
      <c r="F24" s="1">
        <v>43842.771249999998</v>
      </c>
      <c r="G24" s="1" t="str">
        <f t="shared" si="0"/>
        <v>2020-01-12</v>
      </c>
      <c r="H24" s="1">
        <v>43894.614465297738</v>
      </c>
      <c r="I24" s="1" t="str">
        <f t="shared" si="1"/>
        <v>2020-03-04</v>
      </c>
      <c r="J24" s="1">
        <v>43899.021477149654</v>
      </c>
      <c r="K24" s="1" t="str">
        <f t="shared" si="2"/>
        <v>2020-03-09</v>
      </c>
      <c r="L24">
        <v>1290</v>
      </c>
      <c r="M24">
        <v>129</v>
      </c>
      <c r="N24" t="str">
        <f t="shared" si="3"/>
        <v>INSERT INTO `reservations`(`idReservation`, `idChambre`, `idClient`, `dateReservation`, `dateDebutSejour`, `dateFinSejour`, `prixSejour`, `arrhes`) VALUES (25,20,14,"2020-01-12","2020-03-04","2020-03-09",1290,129);</v>
      </c>
    </row>
    <row r="25" spans="2:14" x14ac:dyDescent="0.25">
      <c r="B25">
        <v>26</v>
      </c>
      <c r="C25">
        <v>15</v>
      </c>
      <c r="D25" t="s">
        <v>31</v>
      </c>
      <c r="E25">
        <f>VLOOKUP(D25,Client!$B$2:$F$21,5,0)</f>
        <v>19</v>
      </c>
      <c r="F25" s="1">
        <v>43557.897736153405</v>
      </c>
      <c r="G25" s="1" t="str">
        <f t="shared" si="0"/>
        <v>2019-04-02</v>
      </c>
      <c r="H25" s="1">
        <v>43587.224356568811</v>
      </c>
      <c r="I25" s="1" t="str">
        <f t="shared" si="1"/>
        <v>2019-05-02</v>
      </c>
      <c r="J25" s="1">
        <v>43594.975878469209</v>
      </c>
      <c r="K25" s="1" t="str">
        <f t="shared" si="2"/>
        <v>2019-05-09</v>
      </c>
      <c r="L25">
        <v>1030</v>
      </c>
      <c r="M25">
        <v>103</v>
      </c>
      <c r="N25" t="str">
        <f t="shared" si="3"/>
        <v>INSERT INTO `reservations`(`idReservation`, `idChambre`, `idClient`, `dateReservation`, `dateDebutSejour`, `dateFinSejour`, `prixSejour`, `arrhes`) VALUES (26,15,19,"2019-04-02","2019-05-02","2019-05-09",1030,103);</v>
      </c>
    </row>
    <row r="26" spans="2:14" x14ac:dyDescent="0.25">
      <c r="B26">
        <v>27</v>
      </c>
      <c r="C26">
        <v>17</v>
      </c>
      <c r="D26" t="s">
        <v>27</v>
      </c>
      <c r="E26">
        <f>VLOOKUP(D26,Client!$B$2:$F$21,5,0)</f>
        <v>17</v>
      </c>
      <c r="F26" s="1">
        <v>43469.629495069581</v>
      </c>
      <c r="G26" s="1" t="str">
        <f t="shared" si="0"/>
        <v>2019-01-04</v>
      </c>
      <c r="H26" s="1">
        <v>43511.831732095772</v>
      </c>
      <c r="I26" s="1" t="str">
        <f t="shared" si="1"/>
        <v>2019-02-15</v>
      </c>
      <c r="J26" s="1">
        <v>43521.905093922047</v>
      </c>
      <c r="K26" s="1" t="str">
        <f t="shared" si="2"/>
        <v>2019-02-25</v>
      </c>
      <c r="L26">
        <v>470</v>
      </c>
      <c r="M26">
        <v>47</v>
      </c>
      <c r="N26" t="str">
        <f t="shared" si="3"/>
        <v>INSERT INTO `reservations`(`idReservation`, `idChambre`, `idClient`, `dateReservation`, `dateDebutSejour`, `dateFinSejour`, `prixSejour`, `arrhes`) VALUES (27,17,17,"2019-01-04","2019-02-15","2019-02-25",470,47);</v>
      </c>
    </row>
    <row r="27" spans="2:14" x14ac:dyDescent="0.25">
      <c r="B27">
        <v>28</v>
      </c>
      <c r="C27">
        <v>14</v>
      </c>
      <c r="D27" t="s">
        <v>25</v>
      </c>
      <c r="E27">
        <f>VLOOKUP(D27,Client!$B$2:$F$21,5,0)</f>
        <v>16</v>
      </c>
      <c r="F27" s="1">
        <v>43602.312272349132</v>
      </c>
      <c r="G27" s="1" t="str">
        <f t="shared" si="0"/>
        <v>2019-05-17</v>
      </c>
      <c r="H27" s="1">
        <v>43616.082025035867</v>
      </c>
      <c r="I27" s="1" t="str">
        <f t="shared" si="1"/>
        <v>2019-05-31</v>
      </c>
      <c r="J27" s="1">
        <v>43619.309360719744</v>
      </c>
      <c r="K27" s="1" t="str">
        <f t="shared" si="2"/>
        <v>2019-06-03</v>
      </c>
      <c r="L27">
        <v>1460</v>
      </c>
      <c r="M27">
        <v>146</v>
      </c>
      <c r="N27" t="str">
        <f t="shared" si="3"/>
        <v>INSERT INTO `reservations`(`idReservation`, `idChambre`, `idClient`, `dateReservation`, `dateDebutSejour`, `dateFinSejour`, `prixSejour`, `arrhes`) VALUES (28,14,16,"2019-05-17","2019-05-31","2019-06-03",1460,146);</v>
      </c>
    </row>
    <row r="28" spans="2:14" x14ac:dyDescent="0.25">
      <c r="B28">
        <v>29</v>
      </c>
      <c r="C28">
        <v>21</v>
      </c>
      <c r="D28" t="s">
        <v>116</v>
      </c>
      <c r="E28">
        <f>VLOOKUP(D28,Client!$B$2:$F$21,5,0)</f>
        <v>6</v>
      </c>
      <c r="F28" s="1">
        <v>43567.759135190921</v>
      </c>
      <c r="G28" s="1" t="str">
        <f t="shared" si="0"/>
        <v>2019-04-12</v>
      </c>
      <c r="H28" s="1">
        <v>43608.530136891262</v>
      </c>
      <c r="I28" s="1" t="str">
        <f t="shared" si="1"/>
        <v>2019-05-23</v>
      </c>
      <c r="J28" s="1">
        <v>43613.916475695238</v>
      </c>
      <c r="K28" s="1" t="str">
        <f t="shared" si="2"/>
        <v>2019-05-28</v>
      </c>
      <c r="L28">
        <v>1310</v>
      </c>
      <c r="M28">
        <v>131</v>
      </c>
      <c r="N28" t="str">
        <f t="shared" si="3"/>
        <v>INSERT INTO `reservations`(`idReservation`, `idChambre`, `idClient`, `dateReservation`, `dateDebutSejour`, `dateFinSejour`, `prixSejour`, `arrhes`) VALUES (29,21,6,"2019-04-12","2019-05-23","2019-05-28",1310,131);</v>
      </c>
    </row>
    <row r="29" spans="2:14" x14ac:dyDescent="0.25">
      <c r="B29">
        <v>30</v>
      </c>
      <c r="C29">
        <v>20</v>
      </c>
      <c r="D29" t="s">
        <v>13</v>
      </c>
      <c r="E29">
        <f>VLOOKUP(D29,Client!$B$2:$F$21,5,0)</f>
        <v>9</v>
      </c>
      <c r="F29" s="1">
        <v>43642.13925899801</v>
      </c>
      <c r="G29" s="1" t="str">
        <f t="shared" si="0"/>
        <v>2019-06-26</v>
      </c>
      <c r="H29" s="1">
        <v>43661.605960557055</v>
      </c>
      <c r="I29" s="1" t="str">
        <f t="shared" si="1"/>
        <v>2019-07-15</v>
      </c>
      <c r="J29" s="1">
        <v>43667.193376164709</v>
      </c>
      <c r="K29" s="1" t="str">
        <f t="shared" si="2"/>
        <v>2019-07-21</v>
      </c>
      <c r="L29">
        <v>460</v>
      </c>
      <c r="M29">
        <v>46</v>
      </c>
      <c r="N29" t="str">
        <f t="shared" si="3"/>
        <v>INSERT INTO `reservations`(`idReservation`, `idChambre`, `idClient`, `dateReservation`, `dateDebutSejour`, `dateFinSejour`, `prixSejour`, `arrhes`) VALUES (30,20,9,"2019-06-26","2019-07-15","2019-07-21",460,46);</v>
      </c>
    </row>
    <row r="30" spans="2:14" x14ac:dyDescent="0.25">
      <c r="B30">
        <v>31</v>
      </c>
      <c r="C30">
        <v>18</v>
      </c>
      <c r="D30" t="s">
        <v>27</v>
      </c>
      <c r="E30">
        <f>VLOOKUP(D30,Client!$B$2:$F$21,5,0)</f>
        <v>17</v>
      </c>
      <c r="F30" s="1">
        <v>43564.381543139076</v>
      </c>
      <c r="G30" s="1" t="str">
        <f t="shared" si="0"/>
        <v>2019-04-09</v>
      </c>
      <c r="H30" s="1">
        <v>43608.352807717762</v>
      </c>
      <c r="I30" s="1" t="str">
        <f t="shared" si="1"/>
        <v>2019-05-23</v>
      </c>
      <c r="J30" s="1">
        <v>43612.742905607927</v>
      </c>
      <c r="K30" s="1" t="str">
        <f t="shared" si="2"/>
        <v>2019-05-27</v>
      </c>
      <c r="L30">
        <v>350</v>
      </c>
      <c r="M30">
        <v>35</v>
      </c>
      <c r="N30" t="str">
        <f t="shared" si="3"/>
        <v>INSERT INTO `reservations`(`idReservation`, `idChambre`, `idClient`, `dateReservation`, `dateDebutSejour`, `dateFinSejour`, `prixSejour`, `arrhes`) VALUES (31,18,17,"2019-04-09","2019-05-23","2019-05-27",350,35);</v>
      </c>
    </row>
    <row r="31" spans="2:14" x14ac:dyDescent="0.25">
      <c r="B31">
        <v>32</v>
      </c>
      <c r="C31">
        <v>23</v>
      </c>
      <c r="D31" t="s">
        <v>22</v>
      </c>
      <c r="E31">
        <f>VLOOKUP(D31,Client!$B$2:$F$21,5,0)</f>
        <v>14</v>
      </c>
      <c r="F31" s="1">
        <v>43630.241959429353</v>
      </c>
      <c r="G31" s="1" t="str">
        <f t="shared" si="0"/>
        <v>2019-06-14</v>
      </c>
      <c r="H31" s="1">
        <v>43679.608378964404</v>
      </c>
      <c r="I31" s="1" t="str">
        <f t="shared" si="1"/>
        <v>2019-08-02</v>
      </c>
      <c r="J31" s="1">
        <v>43681.175523274833</v>
      </c>
      <c r="K31" s="1" t="str">
        <f t="shared" si="2"/>
        <v>2019-08-04</v>
      </c>
      <c r="L31">
        <v>890</v>
      </c>
      <c r="M31">
        <v>89</v>
      </c>
      <c r="N31" t="str">
        <f t="shared" si="3"/>
        <v>INSERT INTO `reservations`(`idReservation`, `idChambre`, `idClient`, `dateReservation`, `dateDebutSejour`, `dateFinSejour`, `prixSejour`, `arrhes`) VALUES (32,23,14,"2019-06-14","2019-08-02","2019-08-04",890,89);</v>
      </c>
    </row>
    <row r="32" spans="2:14" x14ac:dyDescent="0.25">
      <c r="B32">
        <v>33</v>
      </c>
      <c r="C32">
        <v>12</v>
      </c>
      <c r="D32" t="s">
        <v>22</v>
      </c>
      <c r="E32">
        <f>VLOOKUP(D32,Client!$B$2:$F$21,5,0)</f>
        <v>14</v>
      </c>
      <c r="F32" s="1">
        <v>43530.819769845199</v>
      </c>
      <c r="G32" s="1" t="str">
        <f t="shared" si="0"/>
        <v>2019-03-06</v>
      </c>
      <c r="H32" s="1">
        <v>43547.988722229005</v>
      </c>
      <c r="I32" s="1" t="str">
        <f t="shared" si="1"/>
        <v>2019-03-23</v>
      </c>
      <c r="J32" s="1">
        <v>43555.935957235677</v>
      </c>
      <c r="K32" s="1" t="str">
        <f t="shared" si="2"/>
        <v>2019-03-31</v>
      </c>
      <c r="L32">
        <v>1440</v>
      </c>
      <c r="M32">
        <v>144</v>
      </c>
      <c r="N32" t="str">
        <f t="shared" si="3"/>
        <v>INSERT INTO `reservations`(`idReservation`, `idChambre`, `idClient`, `dateReservation`, `dateDebutSejour`, `dateFinSejour`, `prixSejour`, `arrhes`) VALUES (33,12,14,"2019-03-06","2019-03-23","2019-03-31",1440,144);</v>
      </c>
    </row>
    <row r="33" spans="2:14" x14ac:dyDescent="0.25">
      <c r="B33">
        <v>34</v>
      </c>
      <c r="C33">
        <v>19</v>
      </c>
      <c r="D33" t="s">
        <v>27</v>
      </c>
      <c r="E33">
        <f>VLOOKUP(D33,Client!$B$2:$F$21,5,0)</f>
        <v>17</v>
      </c>
      <c r="F33" s="1">
        <v>43551.079638646741</v>
      </c>
      <c r="G33" s="1" t="str">
        <f t="shared" si="0"/>
        <v>2019-03-27</v>
      </c>
      <c r="H33" s="1">
        <v>43584.377732956644</v>
      </c>
      <c r="I33" s="1" t="str">
        <f t="shared" si="1"/>
        <v>2019-04-29</v>
      </c>
      <c r="J33" s="1">
        <v>43592.63825020918</v>
      </c>
      <c r="K33" s="1" t="str">
        <f t="shared" si="2"/>
        <v>2019-05-07</v>
      </c>
      <c r="L33">
        <v>1010</v>
      </c>
      <c r="M33">
        <v>101</v>
      </c>
      <c r="N33" t="str">
        <f t="shared" si="3"/>
        <v>INSERT INTO `reservations`(`idReservation`, `idChambre`, `idClient`, `dateReservation`, `dateDebutSejour`, `dateFinSejour`, `prixSejour`, `arrhes`) VALUES (34,19,17,"2019-03-27","2019-04-29","2019-05-07",1010,101);</v>
      </c>
    </row>
    <row r="34" spans="2:14" x14ac:dyDescent="0.25">
      <c r="B34">
        <v>35</v>
      </c>
      <c r="C34">
        <v>16</v>
      </c>
      <c r="D34" t="s">
        <v>20</v>
      </c>
      <c r="E34">
        <f>VLOOKUP(D34,Client!$B$2:$F$21,5,0)</f>
        <v>13</v>
      </c>
      <c r="F34" s="1">
        <v>43507.857479898441</v>
      </c>
      <c r="G34" s="1" t="str">
        <f t="shared" si="0"/>
        <v>2019-02-11</v>
      </c>
      <c r="H34" s="1">
        <v>43532.756838732465</v>
      </c>
      <c r="I34" s="1" t="str">
        <f t="shared" si="1"/>
        <v>2019-03-08</v>
      </c>
      <c r="J34" s="1">
        <v>43546.577192151264</v>
      </c>
      <c r="K34" s="1" t="str">
        <f t="shared" si="2"/>
        <v>2019-03-22</v>
      </c>
      <c r="L34">
        <v>790</v>
      </c>
      <c r="M34">
        <v>79</v>
      </c>
      <c r="N34" t="str">
        <f t="shared" si="3"/>
        <v>INSERT INTO `reservations`(`idReservation`, `idChambre`, `idClient`, `dateReservation`, `dateDebutSejour`, `dateFinSejour`, `prixSejour`, `arrhes`) VALUES (35,16,13,"2019-02-11","2019-03-08","2019-03-22",790,79);</v>
      </c>
    </row>
    <row r="35" spans="2:14" x14ac:dyDescent="0.25">
      <c r="B35">
        <v>36</v>
      </c>
      <c r="C35">
        <v>2</v>
      </c>
      <c r="D35" t="s">
        <v>115</v>
      </c>
      <c r="E35">
        <f>VLOOKUP(D35,Client!$B$2:$F$21,5,0)</f>
        <v>5</v>
      </c>
      <c r="F35" s="1">
        <v>43570.062534315271</v>
      </c>
      <c r="G35" s="1" t="str">
        <f t="shared" si="0"/>
        <v>2019-04-15</v>
      </c>
      <c r="H35" s="1">
        <v>43578.394998427058</v>
      </c>
      <c r="I35" s="1" t="str">
        <f t="shared" si="1"/>
        <v>2019-04-23</v>
      </c>
      <c r="J35" s="1">
        <v>43589.62418991021</v>
      </c>
      <c r="K35" s="1" t="str">
        <f t="shared" si="2"/>
        <v>2019-05-04</v>
      </c>
      <c r="L35">
        <v>270</v>
      </c>
      <c r="M35">
        <v>27</v>
      </c>
      <c r="N35" t="str">
        <f t="shared" si="3"/>
        <v>INSERT INTO `reservations`(`idReservation`, `idChambre`, `idClient`, `dateReservation`, `dateDebutSejour`, `dateFinSejour`, `prixSejour`, `arrhes`) VALUES (36,2,5,"2019-04-15","2019-04-23","2019-05-04",270,27);</v>
      </c>
    </row>
    <row r="36" spans="2:14" x14ac:dyDescent="0.25">
      <c r="B36">
        <v>37</v>
      </c>
      <c r="C36">
        <v>19</v>
      </c>
      <c r="D36" t="s">
        <v>31</v>
      </c>
      <c r="E36">
        <f>VLOOKUP(D36,Client!$B$2:$F$21,5,0)</f>
        <v>19</v>
      </c>
      <c r="F36" s="1">
        <v>43549.367806825547</v>
      </c>
      <c r="G36" s="1" t="str">
        <f t="shared" si="0"/>
        <v>2019-03-25</v>
      </c>
      <c r="H36" s="1">
        <v>43587.155382768782</v>
      </c>
      <c r="I36" s="1" t="str">
        <f t="shared" si="1"/>
        <v>2019-05-02</v>
      </c>
      <c r="J36" s="1">
        <v>43601.581281453393</v>
      </c>
      <c r="K36" s="1" t="str">
        <f t="shared" si="2"/>
        <v>2019-05-16</v>
      </c>
      <c r="L36">
        <v>660</v>
      </c>
      <c r="M36">
        <v>66</v>
      </c>
      <c r="N36" t="str">
        <f t="shared" si="3"/>
        <v>INSERT INTO `reservations`(`idReservation`, `idChambre`, `idClient`, `dateReservation`, `dateDebutSejour`, `dateFinSejour`, `prixSejour`, `arrhes`) VALUES (37,19,19,"2019-03-25","2019-05-02","2019-05-16",660,66);</v>
      </c>
    </row>
    <row r="37" spans="2:14" x14ac:dyDescent="0.25">
      <c r="B37">
        <v>38</v>
      </c>
      <c r="C37">
        <v>4</v>
      </c>
      <c r="D37" t="s">
        <v>20</v>
      </c>
      <c r="E37">
        <f>VLOOKUP(D37,Client!$B$2:$F$21,5,0)</f>
        <v>13</v>
      </c>
      <c r="F37" s="1">
        <v>43586.616644903654</v>
      </c>
      <c r="G37" s="1" t="str">
        <f t="shared" si="0"/>
        <v>2019-05-01</v>
      </c>
      <c r="H37" s="1">
        <v>43630.818224951334</v>
      </c>
      <c r="I37" s="1" t="str">
        <f t="shared" si="1"/>
        <v>2019-06-14</v>
      </c>
      <c r="J37" s="1">
        <v>43634.362441893754</v>
      </c>
      <c r="K37" s="1" t="str">
        <f t="shared" si="2"/>
        <v>2019-06-18</v>
      </c>
      <c r="L37">
        <v>140</v>
      </c>
      <c r="M37">
        <v>14</v>
      </c>
      <c r="N37" t="str">
        <f t="shared" si="3"/>
        <v>INSERT INTO `reservations`(`idReservation`, `idChambre`, `idClient`, `dateReservation`, `dateDebutSejour`, `dateFinSejour`, `prixSejour`, `arrhes`) VALUES (38,4,13,"2019-05-01","2019-06-14","2019-06-18",140,14);</v>
      </c>
    </row>
    <row r="38" spans="2:14" x14ac:dyDescent="0.25">
      <c r="B38">
        <v>39</v>
      </c>
      <c r="C38">
        <v>19</v>
      </c>
      <c r="D38" t="s">
        <v>22</v>
      </c>
      <c r="E38">
        <f>VLOOKUP(D38,Client!$B$2:$F$21,5,0)</f>
        <v>14</v>
      </c>
      <c r="F38" s="1">
        <v>43840.541096836409</v>
      </c>
      <c r="G38" s="1" t="str">
        <f t="shared" si="0"/>
        <v>2020-01-10</v>
      </c>
      <c r="H38" s="1">
        <v>43885.393173702185</v>
      </c>
      <c r="I38" s="1" t="str">
        <f t="shared" si="1"/>
        <v>2020-02-24</v>
      </c>
      <c r="J38" s="1">
        <v>43890.651248378519</v>
      </c>
      <c r="K38" s="1" t="str">
        <f t="shared" si="2"/>
        <v>2020-02-29</v>
      </c>
      <c r="L38">
        <v>1460</v>
      </c>
      <c r="M38">
        <v>146</v>
      </c>
      <c r="N38" t="str">
        <f t="shared" si="3"/>
        <v>INSERT INTO `reservations`(`idReservation`, `idChambre`, `idClient`, `dateReservation`, `dateDebutSejour`, `dateFinSejour`, `prixSejour`, `arrhes`) VALUES (39,19,14,"2020-01-10","2020-02-24","2020-02-29",1460,146);</v>
      </c>
    </row>
    <row r="39" spans="2:14" x14ac:dyDescent="0.25">
      <c r="B39">
        <v>40</v>
      </c>
      <c r="C39">
        <v>4</v>
      </c>
      <c r="D39" t="s">
        <v>116</v>
      </c>
      <c r="E39">
        <f>VLOOKUP(D39,Client!$B$2:$F$21,5,0)</f>
        <v>6</v>
      </c>
      <c r="F39" s="1">
        <v>43793.740177486878</v>
      </c>
      <c r="G39" s="1" t="str">
        <f t="shared" si="0"/>
        <v>2019-11-24</v>
      </c>
      <c r="H39" s="1">
        <v>43799.638333093069</v>
      </c>
      <c r="I39" s="1" t="str">
        <f t="shared" si="1"/>
        <v>2019-11-30</v>
      </c>
      <c r="J39" s="1">
        <v>43800.477209937322</v>
      </c>
      <c r="K39" s="1" t="str">
        <f t="shared" si="2"/>
        <v>2019-12-01</v>
      </c>
      <c r="L39">
        <v>790</v>
      </c>
      <c r="M39">
        <v>79</v>
      </c>
      <c r="N39" t="str">
        <f t="shared" si="3"/>
        <v>INSERT INTO `reservations`(`idReservation`, `idChambre`, `idClient`, `dateReservation`, `dateDebutSejour`, `dateFinSejour`, `prixSejour`, `arrhes`) VALUES (40,4,6,"2019-11-24","2019-11-30","2019-12-01",790,79);</v>
      </c>
    </row>
    <row r="40" spans="2:14" x14ac:dyDescent="0.25">
      <c r="B40">
        <v>41</v>
      </c>
      <c r="C40">
        <v>20</v>
      </c>
      <c r="D40" t="s">
        <v>24</v>
      </c>
      <c r="E40">
        <f>VLOOKUP(D40,Client!$B$2:$F$21,5,0)</f>
        <v>15</v>
      </c>
      <c r="F40" s="1">
        <v>43843.146282966954</v>
      </c>
      <c r="G40" s="1" t="str">
        <f t="shared" si="0"/>
        <v>2020-01-13</v>
      </c>
      <c r="H40" s="1">
        <v>43860.698649429687</v>
      </c>
      <c r="I40" s="1" t="str">
        <f t="shared" si="1"/>
        <v>2020-01-30</v>
      </c>
      <c r="J40" s="1">
        <v>43875.316375780065</v>
      </c>
      <c r="K40" s="1" t="str">
        <f t="shared" si="2"/>
        <v>2020-02-14</v>
      </c>
      <c r="L40">
        <v>390</v>
      </c>
      <c r="M40">
        <v>39</v>
      </c>
      <c r="N40" t="str">
        <f t="shared" si="3"/>
        <v>INSERT INTO `reservations`(`idReservation`, `idChambre`, `idClient`, `dateReservation`, `dateDebutSejour`, `dateFinSejour`, `prixSejour`, `arrhes`) VALUES (41,20,15,"2020-01-13","2020-01-30","2020-02-14",390,39);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opLeftCell="B1" workbookViewId="0">
      <selection activeCell="G2" sqref="G2:G21"/>
    </sheetView>
  </sheetViews>
  <sheetFormatPr baseColWidth="10" defaultRowHeight="15" x14ac:dyDescent="0.25"/>
  <cols>
    <col min="2" max="3" width="23.5703125" bestFit="1" customWidth="1"/>
    <col min="4" max="4" width="31.28515625" bestFit="1" customWidth="1"/>
    <col min="5" max="5" width="24.85546875" bestFit="1" customWidth="1"/>
    <col min="6" max="6" width="25.5703125" bestFit="1" customWidth="1"/>
    <col min="7" max="7" width="27.5703125" customWidth="1"/>
  </cols>
  <sheetData>
    <row r="1" spans="1:7" x14ac:dyDescent="0.25">
      <c r="A1" s="6" t="s">
        <v>82</v>
      </c>
      <c r="B1" s="4" t="s">
        <v>78</v>
      </c>
      <c r="C1" s="4" t="s">
        <v>83</v>
      </c>
      <c r="D1" s="4" t="s">
        <v>80</v>
      </c>
      <c r="E1" s="4" t="s">
        <v>81</v>
      </c>
      <c r="F1" s="4" t="s">
        <v>127</v>
      </c>
    </row>
    <row r="2" spans="1:7" x14ac:dyDescent="0.25">
      <c r="A2" s="5"/>
      <c r="B2" s="5" t="s">
        <v>111</v>
      </c>
      <c r="C2" s="5" t="s">
        <v>0</v>
      </c>
      <c r="D2" s="5" t="s">
        <v>85</v>
      </c>
      <c r="E2" s="5" t="s">
        <v>119</v>
      </c>
      <c r="F2" s="5">
        <v>1</v>
      </c>
      <c r="G2" t="str">
        <f>"INSERT INTO `clients`(`idClient`, `nomClient`, `prenomClient`, `adresseClient`, `villeClient`) VALUES ("&amp;F2&amp;","""&amp;B2&amp;""","""&amp;C2&amp;""","""&amp;D2&amp;""","""&amp;E2&amp;""");"</f>
        <v>INSERT INTO `clients`(`idClient`, `nomClient`, `prenomClient`, `adresseClient`, `villeClient`) VALUES (1,"DOE","John","Rue Du General Leclerc","Chatenay Malabry");</v>
      </c>
    </row>
    <row r="3" spans="1:7" x14ac:dyDescent="0.25">
      <c r="A3" s="5"/>
      <c r="B3" s="5" t="s">
        <v>112</v>
      </c>
      <c r="C3" s="5" t="s">
        <v>1</v>
      </c>
      <c r="D3" s="5" t="s">
        <v>86</v>
      </c>
      <c r="E3" s="5" t="s">
        <v>2</v>
      </c>
      <c r="F3" s="5">
        <v>2</v>
      </c>
      <c r="G3" t="str">
        <f t="shared" ref="G3:G21" si="0">"INSERT INTO `clients`(`idClient`, `nomClient`, `prenomClient`, `adresseClient`, `villeClient`) VALUES ("&amp;F3&amp;","""&amp;B3&amp;""","""&amp;C3&amp;""","""&amp;D3&amp;""","""&amp;E3&amp;""");"</f>
        <v>INSERT INTO `clients`(`idClient`, `nomClient`, `prenomClient`, `adresseClient`, `villeClient`) VALUES (2,"HOMME","Josh","Rue Danton","Palm Desert");</v>
      </c>
    </row>
    <row r="4" spans="1:7" x14ac:dyDescent="0.25">
      <c r="A4" s="5"/>
      <c r="B4" s="5" t="s">
        <v>113</v>
      </c>
      <c r="C4" s="5" t="s">
        <v>3</v>
      </c>
      <c r="D4" s="5" t="s">
        <v>87</v>
      </c>
      <c r="E4" s="5" t="s">
        <v>4</v>
      </c>
      <c r="F4" s="5">
        <v>3</v>
      </c>
      <c r="G4" t="str">
        <f t="shared" si="0"/>
        <v>INSERT INTO `clients`(`idClient`, `nomClient`, `prenomClient`, `adresseClient`, `villeClient`) VALUES (3,"PAUL","Weller","Rue Hoche","Londres");</v>
      </c>
    </row>
    <row r="5" spans="1:7" x14ac:dyDescent="0.25">
      <c r="A5" s="5"/>
      <c r="B5" s="5" t="s">
        <v>114</v>
      </c>
      <c r="C5" s="5" t="s">
        <v>5</v>
      </c>
      <c r="D5" s="5" t="s">
        <v>88</v>
      </c>
      <c r="E5" s="5" t="s">
        <v>6</v>
      </c>
      <c r="F5" s="5">
        <v>4</v>
      </c>
      <c r="G5" t="str">
        <f t="shared" si="0"/>
        <v>INSERT INTO `clients`(`idClient`, `nomClient`, `prenomClient`, `adresseClient`, `villeClient`) VALUES (4,"WHITE","Jack","Allee Gustave Eiffel","Detroit");</v>
      </c>
    </row>
    <row r="6" spans="1:7" x14ac:dyDescent="0.25">
      <c r="A6" s="5"/>
      <c r="B6" s="5" t="s">
        <v>115</v>
      </c>
      <c r="C6" s="5" t="s">
        <v>7</v>
      </c>
      <c r="D6" s="5" t="s">
        <v>89</v>
      </c>
      <c r="E6" s="5" t="s">
        <v>8</v>
      </c>
      <c r="F6" s="5">
        <v>5</v>
      </c>
      <c r="G6" t="str">
        <f t="shared" si="0"/>
        <v>INSERT INTO `clients`(`idClient`, `nomClient`, `prenomClient`, `adresseClient`, `villeClient`) VALUES (5,"CLAYPOOL","Les","Rue Jean Pierre Timbaud","San Francisco");</v>
      </c>
    </row>
    <row r="7" spans="1:7" x14ac:dyDescent="0.25">
      <c r="A7" s="5"/>
      <c r="B7" s="5" t="s">
        <v>116</v>
      </c>
      <c r="C7" s="5" t="s">
        <v>9</v>
      </c>
      <c r="D7" s="5" t="s">
        <v>90</v>
      </c>
      <c r="E7" s="5" t="s">
        <v>4</v>
      </c>
      <c r="F7" s="5">
        <v>6</v>
      </c>
      <c r="G7" t="str">
        <f t="shared" si="0"/>
        <v>INSERT INTO `clients`(`idClient`, `nomClient`, `prenomClient`, `adresseClient`, `villeClient`) VALUES (6,"SQUIRE","Chris","Place Paul Vaillant Couturier","Londres");</v>
      </c>
    </row>
    <row r="8" spans="1:7" x14ac:dyDescent="0.25">
      <c r="A8" s="5"/>
      <c r="B8" s="5" t="s">
        <v>117</v>
      </c>
      <c r="C8" s="5" t="s">
        <v>10</v>
      </c>
      <c r="D8" s="5" t="s">
        <v>95</v>
      </c>
      <c r="E8" s="5" t="s">
        <v>4</v>
      </c>
      <c r="F8" s="5">
        <v>7</v>
      </c>
      <c r="G8" t="str">
        <f t="shared" si="0"/>
        <v>INSERT INTO `clients`(`idClient`, `nomClient`, `prenomClient`, `adresseClient`, `villeClient`) VALUES (7,"WOOD","Ronnie","Rue Erevan","Londres");</v>
      </c>
    </row>
    <row r="9" spans="1:7" x14ac:dyDescent="0.25">
      <c r="A9" s="5"/>
      <c r="B9" s="5" t="s">
        <v>118</v>
      </c>
      <c r="C9" s="5" t="s">
        <v>11</v>
      </c>
      <c r="D9" s="5" t="s">
        <v>85</v>
      </c>
      <c r="E9" s="5" t="s">
        <v>12</v>
      </c>
      <c r="F9" s="5">
        <v>8</v>
      </c>
      <c r="G9" t="str">
        <f t="shared" si="0"/>
        <v>INSERT INTO `clients`(`idClient`, `nomClient`, `prenomClient`, `adresseClient`, `villeClient`) VALUES (8,"THUNDERS","Johnny","Rue Du General Leclerc","New York");</v>
      </c>
    </row>
    <row r="10" spans="1:7" x14ac:dyDescent="0.25">
      <c r="A10" s="5"/>
      <c r="B10" s="5" t="s">
        <v>13</v>
      </c>
      <c r="C10" s="5" t="s">
        <v>14</v>
      </c>
      <c r="D10" s="5" t="s">
        <v>85</v>
      </c>
      <c r="E10" s="5" t="s">
        <v>84</v>
      </c>
      <c r="F10" s="5">
        <v>9</v>
      </c>
      <c r="G10" t="str">
        <f t="shared" si="0"/>
        <v>INSERT INTO `clients`(`idClient`, `nomClient`, `prenomClient`, `adresseClient`, `villeClient`) VALUES (9,"JEUNEMAITRE","Eric","Rue Du General Leclerc","Chaville");</v>
      </c>
    </row>
    <row r="11" spans="1:7" x14ac:dyDescent="0.25">
      <c r="A11" s="5"/>
      <c r="B11" s="5" t="s">
        <v>15</v>
      </c>
      <c r="C11" s="5" t="s">
        <v>16</v>
      </c>
      <c r="D11" s="5" t="s">
        <v>86</v>
      </c>
      <c r="E11" s="5" t="s">
        <v>120</v>
      </c>
      <c r="F11" s="5">
        <v>10</v>
      </c>
      <c r="G11" t="str">
        <f t="shared" si="0"/>
        <v>INSERT INTO `clients`(`idClient`, `nomClient`, `prenomClient`, `adresseClient`, `villeClient`) VALUES (10,"KARAM","Patrick","Rue Danton","Courbevoie");</v>
      </c>
    </row>
    <row r="12" spans="1:7" x14ac:dyDescent="0.25">
      <c r="A12" s="5"/>
      <c r="B12" s="5" t="s">
        <v>17</v>
      </c>
      <c r="C12" s="5" t="s">
        <v>18</v>
      </c>
      <c r="D12" s="5" t="s">
        <v>87</v>
      </c>
      <c r="E12" s="5" t="s">
        <v>121</v>
      </c>
      <c r="F12" s="5">
        <v>11</v>
      </c>
      <c r="G12" t="str">
        <f t="shared" si="0"/>
        <v>INSERT INTO `clients`(`idClient`, `nomClient`, `prenomClient`, `adresseClient`, `villeClient`) VALUES (11,"RUFET","Corinne","Rue Hoche","Le Plessis Robinson");</v>
      </c>
    </row>
    <row r="13" spans="1:7" x14ac:dyDescent="0.25">
      <c r="A13" s="5"/>
      <c r="B13" s="5" t="s">
        <v>110</v>
      </c>
      <c r="C13" s="5" t="s">
        <v>19</v>
      </c>
      <c r="D13" s="5" t="s">
        <v>88</v>
      </c>
      <c r="E13" s="5" t="s">
        <v>122</v>
      </c>
      <c r="F13" s="5">
        <v>12</v>
      </c>
      <c r="G13" t="str">
        <f t="shared" si="0"/>
        <v>INSERT INTO `clients`(`idClient`, `nomClient`, `prenomClient`, `adresseClient`, `villeClient`) VALUES (12,"SAINT JUST ","Wallerand","Allee Gustave Eiffel","Marnes La Coquette");</v>
      </c>
    </row>
    <row r="14" spans="1:7" x14ac:dyDescent="0.25">
      <c r="A14" s="5"/>
      <c r="B14" s="5" t="s">
        <v>20</v>
      </c>
      <c r="C14" s="5" t="s">
        <v>21</v>
      </c>
      <c r="D14" s="5" t="s">
        <v>89</v>
      </c>
      <c r="E14" s="5" t="s">
        <v>119</v>
      </c>
      <c r="F14" s="5">
        <v>13</v>
      </c>
      <c r="G14" t="str">
        <f t="shared" si="0"/>
        <v>INSERT INTO `clients`(`idClient`, `nomClient`, `prenomClient`, `adresseClient`, `villeClient`) VALUES (13,"SANTINI","Jean-Luc","Rue Jean Pierre Timbaud","Chatenay Malabry");</v>
      </c>
    </row>
    <row r="15" spans="1:7" x14ac:dyDescent="0.25">
      <c r="A15" s="5"/>
      <c r="B15" s="5" t="s">
        <v>22</v>
      </c>
      <c r="C15" s="5" t="s">
        <v>23</v>
      </c>
      <c r="D15" s="5" t="s">
        <v>90</v>
      </c>
      <c r="E15" s="5" t="s">
        <v>121</v>
      </c>
      <c r="F15" s="5">
        <v>14</v>
      </c>
      <c r="G15" t="str">
        <f t="shared" si="0"/>
        <v>INSERT INTO `clients`(`idClient`, `nomClient`, `prenomClient`, `adresseClient`, `villeClient`) VALUES (14,"AIT","Eddie","Place Paul Vaillant Couturier","Le Plessis Robinson");</v>
      </c>
    </row>
    <row r="16" spans="1:7" x14ac:dyDescent="0.25">
      <c r="A16" s="5"/>
      <c r="B16" s="5" t="s">
        <v>24</v>
      </c>
      <c r="C16" s="5" t="s">
        <v>23</v>
      </c>
      <c r="D16" s="5" t="s">
        <v>95</v>
      </c>
      <c r="E16" s="5" t="s">
        <v>119</v>
      </c>
      <c r="F16" s="5">
        <v>15</v>
      </c>
      <c r="G16" t="str">
        <f t="shared" si="0"/>
        <v>INSERT INTO `clients`(`idClient`, `nomClient`, `prenomClient`, `adresseClient`, `villeClient`) VALUES (15,"BARBOTIN","Eddie","Rue Erevan","Chatenay Malabry");</v>
      </c>
    </row>
    <row r="17" spans="1:7" x14ac:dyDescent="0.25">
      <c r="A17" s="5"/>
      <c r="B17" s="5" t="s">
        <v>25</v>
      </c>
      <c r="C17" s="5" t="s">
        <v>26</v>
      </c>
      <c r="D17" s="5" t="s">
        <v>85</v>
      </c>
      <c r="E17" s="5" t="s">
        <v>4</v>
      </c>
      <c r="F17" s="5">
        <v>16</v>
      </c>
      <c r="G17" t="str">
        <f t="shared" si="0"/>
        <v>INSERT INTO `clients`(`idClient`, `nomClient`, `prenomClient`, `adresseClient`, `villeClient`) VALUES (16,"BERESSI","Isabelle","Rue Du General Leclerc","Londres");</v>
      </c>
    </row>
    <row r="18" spans="1:7" x14ac:dyDescent="0.25">
      <c r="A18" s="5"/>
      <c r="B18" s="5" t="s">
        <v>27</v>
      </c>
      <c r="C18" s="5" t="s">
        <v>28</v>
      </c>
      <c r="D18" s="5" t="s">
        <v>91</v>
      </c>
      <c r="E18" s="5" t="s">
        <v>123</v>
      </c>
      <c r="F18" s="5">
        <v>17</v>
      </c>
      <c r="G18" t="str">
        <f t="shared" si="0"/>
        <v>INSERT INTO `clients`(`idClient`, `nomClient`, `prenomClient`, `adresseClient`, `villeClient`) VALUES (17,"CAMARA","Lamine","Rue Ernest Renan","Antony");</v>
      </c>
    </row>
    <row r="19" spans="1:7" x14ac:dyDescent="0.25">
      <c r="A19" s="5"/>
      <c r="B19" s="5" t="s">
        <v>29</v>
      </c>
      <c r="C19" s="5" t="s">
        <v>30</v>
      </c>
      <c r="D19" s="5" t="s">
        <v>92</v>
      </c>
      <c r="E19" s="5" t="s">
        <v>119</v>
      </c>
      <c r="F19" s="5">
        <v>18</v>
      </c>
      <c r="G19" t="str">
        <f t="shared" si="0"/>
        <v>INSERT INTO `clients`(`idClient`, `nomClient`, `prenomClient`, `adresseClient`, `villeClient`) VALUES (18,"CECCONI","Frank","Rue Georges Marie","Chatenay Malabry");</v>
      </c>
    </row>
    <row r="20" spans="1:7" x14ac:dyDescent="0.25">
      <c r="A20" s="5"/>
      <c r="B20" s="5" t="s">
        <v>31</v>
      </c>
      <c r="C20" s="5" t="s">
        <v>14</v>
      </c>
      <c r="D20" s="5" t="s">
        <v>93</v>
      </c>
      <c r="E20" s="5" t="s">
        <v>124</v>
      </c>
      <c r="F20" s="5">
        <v>19</v>
      </c>
      <c r="G20" t="str">
        <f t="shared" si="0"/>
        <v>INSERT INTO `clients`(`idClient`, `nomClient`, `prenomClient`, `adresseClient`, `villeClient`) VALUES (19,"CHEVRON","Eric","Boulevard Gallieni","Suresnes");</v>
      </c>
    </row>
    <row r="21" spans="1:7" x14ac:dyDescent="0.25">
      <c r="A21" s="5"/>
      <c r="B21" s="5" t="s">
        <v>32</v>
      </c>
      <c r="C21" s="5" t="s">
        <v>33</v>
      </c>
      <c r="D21" s="5" t="s">
        <v>94</v>
      </c>
      <c r="E21" s="5" t="s">
        <v>125</v>
      </c>
      <c r="F21" s="5">
        <v>20</v>
      </c>
      <c r="G21" t="str">
        <f t="shared" si="0"/>
        <v>INSERT INTO `clients`(`idClient`, `nomClient`, `prenomClient`, `adresseClient`, `villeClient`) VALUES (20,"CIUNTU","Marie-Carole","Esplanade Du Belvedere","Meudon");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I2" sqref="I2:I16"/>
    </sheetView>
  </sheetViews>
  <sheetFormatPr baseColWidth="10" defaultRowHeight="15" x14ac:dyDescent="0.25"/>
  <cols>
    <col min="2" max="3" width="23.5703125" bestFit="1" customWidth="1"/>
    <col min="4" max="4" width="9.5703125" bestFit="1" customWidth="1"/>
    <col min="5" max="5" width="24.85546875" bestFit="1" customWidth="1"/>
    <col min="6" max="6" width="25.5703125" bestFit="1" customWidth="1"/>
    <col min="7" max="7" width="25.5703125" customWidth="1"/>
    <col min="8" max="8" width="24.7109375" customWidth="1"/>
    <col min="9" max="9" width="38.85546875" customWidth="1"/>
  </cols>
  <sheetData>
    <row r="1" spans="1:9" x14ac:dyDescent="0.25">
      <c r="A1" s="6" t="s">
        <v>76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81</v>
      </c>
      <c r="G1" s="7" t="s">
        <v>128</v>
      </c>
      <c r="H1" s="7" t="s">
        <v>126</v>
      </c>
    </row>
    <row r="2" spans="1:9" x14ac:dyDescent="0.25">
      <c r="A2" s="5"/>
      <c r="B2" s="5" t="s">
        <v>69</v>
      </c>
      <c r="C2" s="5" t="s">
        <v>34</v>
      </c>
      <c r="D2" s="5">
        <v>3</v>
      </c>
      <c r="E2" s="5" t="s">
        <v>35</v>
      </c>
      <c r="F2" s="5" t="s">
        <v>36</v>
      </c>
      <c r="G2" s="5">
        <v>1</v>
      </c>
      <c r="H2" s="5">
        <f>VLOOKUP(B2,Station!$B$2:$D$9,3,0)</f>
        <v>1</v>
      </c>
      <c r="I2" t="str">
        <f>"INSERT INTO `hotels`(`idHotel`, `nomHotel`, `categorieHotel`, `adresseHotel`, `villeHotel`, `idStation`) VALUES ("&amp;G2&amp;","""&amp;C2&amp;""","&amp;D2&amp;","""&amp;E2&amp;""","""&amp;F2&amp;""","&amp;H2&amp;");"</f>
        <v>INSERT INTO `hotels`(`idHotel`, `nomHotel`, `categorieHotel`, `adresseHotel`, `villeHotel`, `idStation`) VALUES (1,"Le Magnifique",3,"rue du bas","Pralo",1);</v>
      </c>
    </row>
    <row r="3" spans="1:9" x14ac:dyDescent="0.25">
      <c r="A3" s="5"/>
      <c r="B3" s="5" t="s">
        <v>69</v>
      </c>
      <c r="C3" s="5" t="s">
        <v>37</v>
      </c>
      <c r="D3" s="5">
        <v>1</v>
      </c>
      <c r="E3" s="5" t="s">
        <v>38</v>
      </c>
      <c r="F3" s="5" t="s">
        <v>36</v>
      </c>
      <c r="G3" s="5">
        <v>2</v>
      </c>
      <c r="H3" s="5">
        <f>VLOOKUP(B3,Station!$B$2:$D$9,3,0)</f>
        <v>1</v>
      </c>
      <c r="I3" t="str">
        <f t="shared" ref="I3:I16" si="0">"INSERT INTO `hotels`(`idHotel`, `nomHotel`, `categorieHotel`, `adresseHotel`, `villeHotel`, `idStation`) VALUES ("&amp;G3&amp;","""&amp;C3&amp;""","&amp;D3&amp;","""&amp;E3&amp;""","""&amp;F3&amp;""","&amp;H3&amp;");"</f>
        <v>INSERT INTO `hotels`(`idHotel`, `nomHotel`, `categorieHotel`, `adresseHotel`, `villeHotel`, `idStation`) VALUES (2,"Hotel du haut",1,"rue du haut","Pralo",1);</v>
      </c>
    </row>
    <row r="4" spans="1:9" x14ac:dyDescent="0.25">
      <c r="A4" s="5"/>
      <c r="B4" s="5" t="s">
        <v>70</v>
      </c>
      <c r="C4" s="5" t="s">
        <v>39</v>
      </c>
      <c r="D4" s="5">
        <v>3</v>
      </c>
      <c r="E4" s="5" t="s">
        <v>40</v>
      </c>
      <c r="F4" s="5" t="s">
        <v>41</v>
      </c>
      <c r="G4" s="5">
        <v>3</v>
      </c>
      <c r="H4" s="5">
        <f>VLOOKUP(B4,Station!$B$2:$D$9,3,0)</f>
        <v>2</v>
      </c>
      <c r="I4" t="str">
        <f t="shared" si="0"/>
        <v>INSERT INTO `hotels`(`idHotel`, `nomHotel`, `categorieHotel`, `adresseHotel`, `villeHotel`, `idStation`) VALUES (3,"Le Narval",3,"place de la liberation","Vonten",2);</v>
      </c>
    </row>
    <row r="5" spans="1:9" x14ac:dyDescent="0.25">
      <c r="A5" s="5"/>
      <c r="B5" s="5" t="s">
        <v>70</v>
      </c>
      <c r="C5" s="5" t="s">
        <v>42</v>
      </c>
      <c r="D5" s="5">
        <v>4</v>
      </c>
      <c r="E5" s="5" t="s">
        <v>43</v>
      </c>
      <c r="F5" s="5" t="s">
        <v>44</v>
      </c>
      <c r="G5" s="5">
        <v>4</v>
      </c>
      <c r="H5" s="5">
        <f>VLOOKUP(B5,Station!$B$2:$D$9,3,0)</f>
        <v>2</v>
      </c>
      <c r="I5" t="str">
        <f t="shared" si="0"/>
        <v>INSERT INTO `hotels`(`idHotel`, `nomHotel`, `categorieHotel`, `adresseHotel`, `villeHotel`, `idStation`) VALUES (4,"Les Pissenlis",4,"place du 14 juillet","Bretou",2);</v>
      </c>
    </row>
    <row r="6" spans="1:9" x14ac:dyDescent="0.25">
      <c r="A6" s="5"/>
      <c r="B6" s="5" t="s">
        <v>70</v>
      </c>
      <c r="C6" s="5" t="s">
        <v>45</v>
      </c>
      <c r="D6" s="5">
        <v>5</v>
      </c>
      <c r="E6" s="5" t="s">
        <v>46</v>
      </c>
      <c r="F6" s="5" t="s">
        <v>44</v>
      </c>
      <c r="G6" s="5">
        <v>5</v>
      </c>
      <c r="H6" s="5">
        <f>VLOOKUP(B6,Station!$B$2:$D$9,3,0)</f>
        <v>2</v>
      </c>
      <c r="I6" t="str">
        <f t="shared" si="0"/>
        <v>INSERT INTO `hotels`(`idHotel`, `nomHotel`, `categorieHotel`, `adresseHotel`, `villeHotel`, `idStation`) VALUES (5,"RR Hotel",5,"place du bas","Bretou",2);</v>
      </c>
    </row>
    <row r="7" spans="1:9" x14ac:dyDescent="0.25">
      <c r="A7" s="5"/>
      <c r="B7" s="5" t="s">
        <v>70</v>
      </c>
      <c r="C7" s="5" t="s">
        <v>47</v>
      </c>
      <c r="D7" s="5">
        <v>2</v>
      </c>
      <c r="E7" s="5" t="s">
        <v>48</v>
      </c>
      <c r="F7" s="5" t="s">
        <v>44</v>
      </c>
      <c r="G7" s="5">
        <v>6</v>
      </c>
      <c r="H7" s="5">
        <f>VLOOKUP(B7,Station!$B$2:$D$9,3,0)</f>
        <v>2</v>
      </c>
      <c r="I7" t="str">
        <f t="shared" si="0"/>
        <v>INSERT INTO `hotels`(`idHotel`, `nomHotel`, `categorieHotel`, `adresseHotel`, `villeHotel`, `idStation`) VALUES (6,"La Brique",2,"place du haut","Bretou",2);</v>
      </c>
    </row>
    <row r="8" spans="1:9" x14ac:dyDescent="0.25">
      <c r="A8" s="5"/>
      <c r="B8" s="5" t="s">
        <v>71</v>
      </c>
      <c r="C8" s="5" t="s">
        <v>49</v>
      </c>
      <c r="D8" s="5">
        <v>3</v>
      </c>
      <c r="E8" s="5" t="s">
        <v>50</v>
      </c>
      <c r="F8" s="5" t="s">
        <v>51</v>
      </c>
      <c r="G8" s="5">
        <v>7</v>
      </c>
      <c r="H8" s="5">
        <f>VLOOKUP(B8,Station!$B$2:$D$9,3,0)</f>
        <v>3</v>
      </c>
      <c r="I8" t="str">
        <f t="shared" si="0"/>
        <v>INSERT INTO `hotels`(`idHotel`, `nomHotel`, `categorieHotel`, `adresseHotel`, `villeHotel`, `idStation`) VALUES (7,"Le Beau Rivage",3,"place du centre","Toras",3);</v>
      </c>
    </row>
    <row r="9" spans="1:9" x14ac:dyDescent="0.25">
      <c r="A9" s="5"/>
      <c r="B9" s="5" t="s">
        <v>57</v>
      </c>
      <c r="C9" s="5" t="s">
        <v>97</v>
      </c>
      <c r="D9" s="5">
        <v>1</v>
      </c>
      <c r="E9" s="5" t="s">
        <v>52</v>
      </c>
      <c r="F9" s="5" t="s">
        <v>53</v>
      </c>
      <c r="G9" s="5">
        <v>8</v>
      </c>
      <c r="H9" s="5">
        <f>VLOOKUP(B9,Station!$B$2:$D$9,3,0)</f>
        <v>6</v>
      </c>
      <c r="I9" t="str">
        <f t="shared" si="0"/>
        <v>INSERT INTO `hotels`(`idHotel`, `nomHotel`, `categorieHotel`, `adresseHotel`, `villeHotel`, `idStation`) VALUES (8,"Residence les marmottes",1,"1 Chemin des randonneurs","Alpe d Huez",6);</v>
      </c>
    </row>
    <row r="10" spans="1:9" x14ac:dyDescent="0.25">
      <c r="A10" s="5"/>
      <c r="B10" s="5" t="s">
        <v>70</v>
      </c>
      <c r="C10" s="5" t="s">
        <v>98</v>
      </c>
      <c r="D10" s="5">
        <v>5</v>
      </c>
      <c r="E10" s="5" t="s">
        <v>54</v>
      </c>
      <c r="F10" s="5" t="s">
        <v>55</v>
      </c>
      <c r="G10" s="5">
        <v>9</v>
      </c>
      <c r="H10" s="5">
        <f>VLOOKUP(B10,Station!$B$2:$D$9,3,0)</f>
        <v>2</v>
      </c>
      <c r="I10" t="str">
        <f t="shared" si="0"/>
        <v>INSERT INTO `hotels`(`idHotel`, `nomHotel`, `categorieHotel`, `adresseHotel`, `villeHotel`, `idStation`) VALUES (9,"Residence les edelweiss",5,"2 Rue des sapins","Areches",2);</v>
      </c>
    </row>
    <row r="11" spans="1:9" x14ac:dyDescent="0.25">
      <c r="A11" s="5"/>
      <c r="B11" s="5" t="s">
        <v>70</v>
      </c>
      <c r="C11" s="5" t="s">
        <v>99</v>
      </c>
      <c r="D11" s="5">
        <v>4</v>
      </c>
      <c r="E11" s="5" t="s">
        <v>56</v>
      </c>
      <c r="F11" s="5" t="s">
        <v>57</v>
      </c>
      <c r="G11" s="5">
        <v>10</v>
      </c>
      <c r="H11" s="5">
        <f>VLOOKUP(B11,Station!$B$2:$D$9,3,0)</f>
        <v>2</v>
      </c>
      <c r="I11" t="str">
        <f t="shared" si="0"/>
        <v>INSERT INTO `hotels`(`idHotel`, `nomHotel`, `categorieHotel`, `adresseHotel`, `villeHotel`, `idStation`) VALUES (10,"Residence les panoramas",4,"7 Avenue de la neige","Beaufort",2);</v>
      </c>
    </row>
    <row r="12" spans="1:9" x14ac:dyDescent="0.25">
      <c r="A12" s="5"/>
      <c r="B12" s="5" t="s">
        <v>53</v>
      </c>
      <c r="C12" s="5" t="s">
        <v>100</v>
      </c>
      <c r="D12" s="5">
        <v>5</v>
      </c>
      <c r="E12" s="5" t="s">
        <v>58</v>
      </c>
      <c r="F12" s="5" t="s">
        <v>59</v>
      </c>
      <c r="G12" s="5">
        <v>11</v>
      </c>
      <c r="H12" s="5">
        <f>VLOOKUP(B12,Station!$B$2:$D$9,3,0)</f>
        <v>4</v>
      </c>
      <c r="I12" t="str">
        <f t="shared" si="0"/>
        <v>INSERT INTO `hotels`(`idHotel`, `nomHotel`, `categorieHotel`, `adresseHotel`, `villeHotel`, `idStation`) VALUES (11,"Residence les sapins",5,"8 Chemin des pissenlits","Aussois",4);</v>
      </c>
    </row>
    <row r="13" spans="1:9" x14ac:dyDescent="0.25">
      <c r="A13" s="5"/>
      <c r="B13" s="5" t="s">
        <v>71</v>
      </c>
      <c r="C13" s="5" t="s">
        <v>60</v>
      </c>
      <c r="D13" s="5">
        <v>3</v>
      </c>
      <c r="E13" s="5" t="s">
        <v>61</v>
      </c>
      <c r="F13" s="5" t="s">
        <v>62</v>
      </c>
      <c r="G13" s="5">
        <v>12</v>
      </c>
      <c r="H13" s="5">
        <f>VLOOKUP(B13,Station!$B$2:$D$9,3,0)</f>
        <v>3</v>
      </c>
      <c r="I13" t="str">
        <f t="shared" si="0"/>
        <v>INSERT INTO `hotels`(`idHotel`, `nomHotel`, `categorieHotel`, `adresseHotel`, `villeHotel`, `idStation`) VALUES (12,"Chalets les marmottes",3,"10 Rue des etables","Avoriaz",3);</v>
      </c>
    </row>
    <row r="14" spans="1:9" x14ac:dyDescent="0.25">
      <c r="A14" s="5"/>
      <c r="B14" s="5" t="s">
        <v>62</v>
      </c>
      <c r="C14" s="5" t="s">
        <v>63</v>
      </c>
      <c r="D14" s="5">
        <v>3</v>
      </c>
      <c r="E14" s="5" t="s">
        <v>64</v>
      </c>
      <c r="F14" s="5" t="s">
        <v>53</v>
      </c>
      <c r="G14" s="5">
        <v>13</v>
      </c>
      <c r="H14" s="5">
        <f>VLOOKUP(B14,Station!$B$2:$D$9,3,0)</f>
        <v>8</v>
      </c>
      <c r="I14" t="str">
        <f t="shared" si="0"/>
        <v>INSERT INTO `hotels`(`idHotel`, `nomHotel`, `categorieHotel`, `adresseHotel`, `villeHotel`, `idStation`) VALUES (13,"Chalets les edelweiss",3,"8 Avenue des sapins","Alpe d Huez",8);</v>
      </c>
    </row>
    <row r="15" spans="1:9" x14ac:dyDescent="0.25">
      <c r="A15" s="5"/>
      <c r="B15" s="5" t="s">
        <v>57</v>
      </c>
      <c r="C15" s="5" t="s">
        <v>65</v>
      </c>
      <c r="D15" s="5">
        <v>2</v>
      </c>
      <c r="E15" s="5" t="s">
        <v>66</v>
      </c>
      <c r="F15" s="5" t="s">
        <v>55</v>
      </c>
      <c r="G15" s="5">
        <v>14</v>
      </c>
      <c r="H15" s="5">
        <f>VLOOKUP(B15,Station!$B$2:$D$9,3,0)</f>
        <v>6</v>
      </c>
      <c r="I15" t="str">
        <f t="shared" si="0"/>
        <v>INSERT INTO `hotels`(`idHotel`, `nomHotel`, `categorieHotel`, `adresseHotel`, `villeHotel`, `idStation`) VALUES (14,"Chalets les panoramas",2,"3 Chemin de la neige","Areches",6);</v>
      </c>
    </row>
    <row r="16" spans="1:9" x14ac:dyDescent="0.25">
      <c r="A16" s="5"/>
      <c r="B16" s="5" t="s">
        <v>62</v>
      </c>
      <c r="C16" s="5" t="s">
        <v>67</v>
      </c>
      <c r="D16" s="5">
        <v>5</v>
      </c>
      <c r="E16" s="5" t="s">
        <v>68</v>
      </c>
      <c r="F16" s="5" t="s">
        <v>57</v>
      </c>
      <c r="G16" s="5">
        <v>15</v>
      </c>
      <c r="H16" s="5">
        <f>VLOOKUP(B16,Station!$B$2:$D$9,3,0)</f>
        <v>8</v>
      </c>
      <c r="I16" t="str">
        <f t="shared" si="0"/>
        <v>INSERT INTO `hotels`(`idHotel`, `nomHotel`, `categorieHotel`, `adresseHotel`, `villeHotel`, `idStation`) VALUES (15,"Chalets les sapins",5,"3 Rue des pissenlits","Beaufort",8);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Station</vt:lpstr>
      <vt:lpstr>Chambre</vt:lpstr>
      <vt:lpstr>Reservations</vt:lpstr>
      <vt:lpstr>Client</vt:lpstr>
      <vt:lpstr>Hotel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59011-15-11</cp:lastModifiedBy>
  <dcterms:created xsi:type="dcterms:W3CDTF">2017-10-16T14:42:30Z</dcterms:created>
  <dcterms:modified xsi:type="dcterms:W3CDTF">2021-03-24T09:38:17Z</dcterms:modified>
</cp:coreProperties>
</file>