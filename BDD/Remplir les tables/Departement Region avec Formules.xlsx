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59011-15-11\Kesary_DWWM\BDD\Remplir les tables\"/>
    </mc:Choice>
  </mc:AlternateContent>
  <bookViews>
    <workbookView xWindow="0" yWindow="0" windowWidth="28800" windowHeight="12300"/>
  </bookViews>
  <sheets>
    <sheet name="Region" sheetId="1" r:id="rId1"/>
  </sheets>
  <calcPr calcId="162913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2" i="1"/>
  <c r="E3" i="1" l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10" i="1"/>
  <c r="F110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2" i="1"/>
  <c r="F2" i="1" s="1"/>
</calcChain>
</file>

<file path=xl/sharedStrings.xml><?xml version="1.0" encoding="utf-8"?>
<sst xmlns="http://schemas.openxmlformats.org/spreadsheetml/2006/main" count="244" uniqueCount="135">
  <si>
    <t>Ain</t>
  </si>
  <si>
    <t>Aisne</t>
  </si>
  <si>
    <t>Allier</t>
  </si>
  <si>
    <t>Alpes-de-Haute-Provence</t>
  </si>
  <si>
    <t>Hautes-Alpes</t>
  </si>
  <si>
    <t>Alpes-Maritimes</t>
  </si>
  <si>
    <t>Ardennes</t>
  </si>
  <si>
    <t>Aube</t>
  </si>
  <si>
    <t>Aude</t>
  </si>
  <si>
    <t>Aveyron</t>
  </si>
  <si>
    <t>Calvados</t>
  </si>
  <si>
    <t>Cantal</t>
  </si>
  <si>
    <t>Charente</t>
  </si>
  <si>
    <t>Charente-Maritime</t>
  </si>
  <si>
    <t>Cher</t>
  </si>
  <si>
    <t>Creuse</t>
  </si>
  <si>
    <t>Dordogne</t>
  </si>
  <si>
    <t>Doubs</t>
  </si>
  <si>
    <t>Eure</t>
  </si>
  <si>
    <t>Eure-et-Loir</t>
  </si>
  <si>
    <t>2A</t>
  </si>
  <si>
    <t>Corse-du-Sud</t>
  </si>
  <si>
    <t>2B</t>
  </si>
  <si>
    <t xml:space="preserve">Haute-Corse </t>
  </si>
  <si>
    <t>Gard</t>
  </si>
  <si>
    <t>Haute-Garonne</t>
  </si>
  <si>
    <t>Gers</t>
  </si>
  <si>
    <t>Gironde</t>
  </si>
  <si>
    <t>Ille-et-Vilaine</t>
  </si>
  <si>
    <t>Indre</t>
  </si>
  <si>
    <t>Indre-et-Loire</t>
  </si>
  <si>
    <t>Jura</t>
  </si>
  <si>
    <t>Landes</t>
  </si>
  <si>
    <t>Loir-et-Cher</t>
  </si>
  <si>
    <t>Loire</t>
  </si>
  <si>
    <t>Haute-Loire</t>
  </si>
  <si>
    <t>Loire-Atlantique</t>
  </si>
  <si>
    <t>Loiret</t>
  </si>
  <si>
    <t>Lot</t>
  </si>
  <si>
    <t>Lot-et-Garonne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</si>
  <si>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</si>
  <si>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</si>
  <si>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</si>
  <si>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</si>
  <si>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</si>
  <si>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</si>
  <si>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</si>
  <si>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</si>
  <si>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</si>
  <si>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Nord</t>
  </si>
  <si>
    <t>Oise</t>
  </si>
  <si>
    <t>Orne</t>
  </si>
  <si>
    <t>Pas-de-Calais</t>
  </si>
  <si>
    <t>Bas-Rhin</t>
  </si>
  <si>
    <t>Haut-Rhin</t>
  </si>
  <si>
    <t>Sarthe</t>
  </si>
  <si>
    <t>Savoie</t>
  </si>
  <si>
    <t>Haute-Savoie</t>
  </si>
  <si>
    <t>Paris</t>
  </si>
  <si>
    <t>Seine-Maritime</t>
  </si>
  <si>
    <t>Seine-et-Marne</t>
  </si>
  <si>
    <t>Yvelines</t>
  </si>
  <si>
    <t>Somme</t>
  </si>
  <si>
    <t>Tarn</t>
  </si>
  <si>
    <t>Tarn-et-Garonne</t>
  </si>
  <si>
    <t>Var</t>
  </si>
  <si>
    <t>Vaucluse</t>
  </si>
  <si>
    <t>Vienne</t>
  </si>
  <si>
    <t>Haute-Vienne</t>
  </si>
  <si>
    <t>Vosges</t>
  </si>
  <si>
    <t>Yonne</t>
  </si>
  <si>
    <t>Territoire de Belfort</t>
  </si>
  <si>
    <t>Essonne</t>
  </si>
  <si>
    <t>Hauts-de-Seine</t>
  </si>
  <si>
    <t>Seine-Saint-Denis</t>
  </si>
  <si>
    <t>Val-de-Marne</t>
  </si>
  <si>
    <t>Val-d'Oise</t>
  </si>
  <si>
    <t>Guadeloupe</t>
  </si>
  <si>
    <t>Martinique</t>
  </si>
  <si>
    <t>Guyane</t>
  </si>
  <si>
    <t>Saint-Pierre-et-Miquelon</t>
  </si>
  <si>
    <t>Mayotte</t>
  </si>
  <si>
    <t>Wallis-et-Futuna</t>
  </si>
  <si>
    <t>Clipperton</t>
  </si>
  <si>
    <t>Bretagne</t>
  </si>
  <si>
    <t>Centre-Val de Loire</t>
  </si>
  <si>
    <t>Corse</t>
  </si>
  <si>
    <t>Grand-Est</t>
  </si>
  <si>
    <t>Hauts-de-France</t>
  </si>
  <si>
    <t>Ile-de-France</t>
  </si>
  <si>
    <t>Normandie</t>
  </si>
  <si>
    <t>Nouvelle-Aquitaine</t>
  </si>
  <si>
    <t>Occitanie</t>
  </si>
  <si>
    <t>Pays de la Loire</t>
  </si>
  <si>
    <t>DOM-TOM</t>
  </si>
  <si>
    <t>Auvergne-Rhône-Alpes</t>
  </si>
  <si>
    <t>Bourgogne-Franche-Comté</t>
  </si>
  <si>
    <t>Provence-Alpes-Côte d'Azur</t>
  </si>
  <si>
    <t>Correze</t>
  </si>
  <si>
    <t>Côte-d'Or</t>
  </si>
  <si>
    <t>Côtes-d'Armor</t>
  </si>
  <si>
    <t>Ariège</t>
  </si>
  <si>
    <t>Ardèche</t>
  </si>
  <si>
    <t>Bouches-du-Rhône</t>
  </si>
  <si>
    <t>Drôme</t>
  </si>
  <si>
    <t>Finistère</t>
  </si>
  <si>
    <t>Hérault</t>
  </si>
  <si>
    <t>Isère</t>
  </si>
  <si>
    <t>Lozère</t>
  </si>
  <si>
    <t>Nièvre</t>
  </si>
  <si>
    <t>Deux-Sèvres</t>
  </si>
  <si>
    <t>Puy-de-Dôme</t>
  </si>
  <si>
    <t>Rhône</t>
  </si>
  <si>
    <t>Haute-Saône</t>
  </si>
  <si>
    <t>Saône-et-Loire</t>
  </si>
  <si>
    <t>Pyrénées-Atlantiques</t>
  </si>
  <si>
    <t>Hautes-Pyrénées</t>
  </si>
  <si>
    <t>Pyrénées-Orientales</t>
  </si>
  <si>
    <t>Vendée</t>
  </si>
  <si>
    <t>La Réunion</t>
  </si>
  <si>
    <t>Nouvelle-Calédonie</t>
  </si>
  <si>
    <t>Terres australes et antarctiques françaises</t>
  </si>
  <si>
    <t>Polynésie française</t>
  </si>
  <si>
    <t>N° departement</t>
  </si>
  <si>
    <t>Département</t>
  </si>
  <si>
    <t>Région</t>
  </si>
  <si>
    <t>N° Région</t>
  </si>
  <si>
    <t>Nb Depart</t>
  </si>
  <si>
    <t>INSERT INTO `regions`(`idRegion`, `libelleRegion`, `numeroRegion`, `nombreDepartement`) VALUES ([value-1],[value-2],[value-3],[value-4])</t>
  </si>
  <si>
    <t>idRegion</t>
  </si>
  <si>
    <t>INSERT INTO `departements`(`idDepartement`, `numeroDepartement`, `libelleDepartement`, `idRegion`) VALUES (</t>
  </si>
  <si>
    <t>idRegion (calculé)</t>
  </si>
  <si>
    <t>Saint-Martin</t>
  </si>
  <si>
    <t>Saint-Barthélemy</t>
  </si>
  <si>
    <t>idDepartement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</si>
</sst>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0"/>
  <sheetViews>
    <sheetView tabSelected="1" topLeftCell="C1" workbookViewId="0">
      <selection activeCell="L2" sqref="L2:L15"/>
    </sheetView>
  </sheetViews>
  <sheetFormatPr baseColWidth="10" defaultRowHeight="15" x14ac:dyDescent="0.25"/>
  <cols>
    <col min="1" max="1" width="17.7109375" customWidth="1"/>
    <col min="3" max="3" width="37" bestFit="1" customWidth="1"/>
    <col min="4" max="4" width="25" bestFit="1" customWidth="1"/>
    <col min="5" max="5" width="17" bestFit="1" customWidth="1"/>
    <col min="6" max="6" width="105" customWidth="1"/>
    <col min="9" max="9" width="25" bestFit="1" customWidth="1"/>
  </cols>
  <sheetData>
    <row r="1" spans="1:12" x14ac:dyDescent="0.25">
      <c r="A1" t="s">
        <v>134</v>
      </c>
      <c r="B1" t="s">
        <v>123</v>
      </c>
      <c r="C1" t="s">
        <v>124</v>
      </c>
      <c r="D1" t="s">
        <v>125</v>
      </c>
      <c r="E1" t="s">
        <v>131</v>
      </c>
      <c r="F1" t="s">
        <v>130</v>
      </c>
      <c r="H1" t="s">
        <v>126</v>
      </c>
      <c r="I1" t="s">
        <v>125</v>
      </c>
      <c r="J1" t="s">
        <v>127</v>
      </c>
      <c r="K1" t="s">
        <v>129</v>
      </c>
      <c r="L1" t="s">
        <v>128</v>
      </c>
    </row>
    <row r="2" spans="1:12" x14ac:dyDescent="0.25">
      <c r="A2">
        <v>1</v>
      </c>
      <c r="B2">
        <v>1</v>
      </c>
      <c r="C2" t="s">
        <v>0</v>
      </c>
      <c r="D2" t="s">
        <v>95</v>
      </c>
      <c r="E2">
        <f>VLOOKUP(D2,$I$2:$K$15,3,0)</f>
        <v>1</v>
      </c>
      <c r="F2" t="str">
        <f>"INSERT INTO `departements`(`idDepartement`, `numeroDepartement`, `libelleDepartement`, `idRegion`) VALUES ("&amp;A2&amp;",""" &amp; B2 &amp; """,""" &amp; C2 &amp; """," &amp; E2 &amp; ");"</f>
        <v>INSERT INTO `departements`(`idDepartement`, `numeroDepartement`, `libelleDepartement`, `idRegion`) VALUES (1,"1","Ain",1);</v>
      </c>
      <c r="H2">
        <v>1</v>
      </c>
      <c r="I2" t="s">
        <v>95</v>
      </c>
      <c r="J2">
        <v>12</v>
      </c>
      <c r="K2">
        <v>1</v>
      </c>
      <c r="L2" t="str">
        <f>"INSERT INTO `regions`(`idRegion`, `libelleRegion`, `numeroRegion`, `nombreDepartement`) VALUES ("&amp;K2&amp;",""" &amp; I2&amp;"""," &amp; H2 &amp; "," &amp; J2 &amp; ");"</f>
        <v>INSERT INTO `regions`(`idRegion`, `libelleRegion`, `numeroRegion`, `nombreDepartement`) VALUES (1,"Auvergne-Rhône-Alpes",1,12);</v>
      </c>
    </row>
    <row r="3" spans="1:12" x14ac:dyDescent="0.25">
      <c r="A3">
        <v>2</v>
      </c>
      <c r="B3">
        <v>2</v>
      </c>
      <c r="C3" t="s">
        <v>1</v>
      </c>
      <c r="D3" t="s">
        <v>88</v>
      </c>
      <c r="E3">
        <f t="shared" ref="E3:E66" si="0">VLOOKUP(D3,$I$2:$K$15,3,0)</f>
        <v>7</v>
      </c>
      <c r="F3" t="str">
        <f t="shared" ref="F3:F66" si="1">"INSERT INTO `departements`(`idDepartement`, `numeroDepartement`, `libelleDepartement`, `idRegion`) VALUES ("&amp;A3&amp;",""" &amp; B3 &amp; """,""" &amp; C3 &amp; """," &amp; E3 &amp; ");"</f>
        <v>INSERT INTO `departements`(`idDepartement`, `numeroDepartement`, `libelleDepartement`, `idRegion`) VALUES (2,"2","Aisne",7);</v>
      </c>
      <c r="H3">
        <v>2</v>
      </c>
      <c r="I3" t="s">
        <v>96</v>
      </c>
      <c r="J3">
        <v>8</v>
      </c>
      <c r="K3">
        <v>2</v>
      </c>
      <c r="L3" t="str">
        <f t="shared" ref="L3:L15" si="2">"INSERT INTO `regions`(`idRegion`, `libelleRegion`, `numeroRegion`, `nombreDepartement`) VALUES ("&amp;K3&amp;",""" &amp; I3&amp;"""," &amp; H3 &amp; "," &amp; J3 &amp; ");"</f>
        <v>INSERT INTO `regions`(`idRegion`, `libelleRegion`, `numeroRegion`, `nombreDepartement`) VALUES (2,"Bourgogne-Franche-Comté",2,8);</v>
      </c>
    </row>
    <row r="4" spans="1:12" x14ac:dyDescent="0.25">
      <c r="A4">
        <v>3</v>
      </c>
      <c r="B4">
        <v>3</v>
      </c>
      <c r="C4" t="s">
        <v>2</v>
      </c>
      <c r="D4" t="s">
        <v>95</v>
      </c>
      <c r="E4">
        <f t="shared" si="0"/>
        <v>1</v>
      </c>
      <c r="F4" t="str">
        <f t="shared" si="1"/>
        <v>INSERT INTO `departements`(`idDepartement`, `numeroDepartement`, `libelleDepartement`, `idRegion`) VALUES (3,"3","Allier",1);</v>
      </c>
      <c r="H4">
        <v>3</v>
      </c>
      <c r="I4" t="s">
        <v>84</v>
      </c>
      <c r="J4">
        <v>4</v>
      </c>
      <c r="K4">
        <v>3</v>
      </c>
      <c r="L4" t="str">
        <f t="shared" si="2"/>
        <v>INSERT INTO `regions`(`idRegion`, `libelleRegion`, `numeroRegion`, `nombreDepartement`) VALUES (3,"Bretagne",3,4);</v>
      </c>
    </row>
    <row r="5" spans="1:12" x14ac:dyDescent="0.25">
      <c r="A5">
        <v>4</v>
      </c>
      <c r="B5">
        <v>4</v>
      </c>
      <c r="C5" t="s">
        <v>3</v>
      </c>
      <c r="D5" t="s">
        <v>97</v>
      </c>
      <c r="E5">
        <f t="shared" si="0"/>
        <v>13</v>
      </c>
      <c r="F5" t="str">
        <f t="shared" si="1"/>
        <v>INSERT INTO `departements`(`idDepartement`, `numeroDepartement`, `libelleDepartement`, `idRegion`) VALUES (4,"4","Alpes-de-Haute-Provence",13);</v>
      </c>
      <c r="H5">
        <v>4</v>
      </c>
      <c r="I5" t="s">
        <v>85</v>
      </c>
      <c r="J5">
        <v>6</v>
      </c>
      <c r="K5">
        <v>4</v>
      </c>
      <c r="L5" t="str">
        <f t="shared" si="2"/>
        <v>INSERT INTO `regions`(`idRegion`, `libelleRegion`, `numeroRegion`, `nombreDepartement`) VALUES (4,"Centre-Val de Loire",4,6);</v>
      </c>
    </row>
    <row r="6" spans="1:12" x14ac:dyDescent="0.25">
      <c r="A6">
        <v>5</v>
      </c>
      <c r="B6">
        <v>5</v>
      </c>
      <c r="C6" t="s">
        <v>4</v>
      </c>
      <c r="D6" t="s">
        <v>97</v>
      </c>
      <c r="E6">
        <f t="shared" si="0"/>
        <v>13</v>
      </c>
      <c r="F6" t="str">
        <f t="shared" si="1"/>
        <v>INSERT INTO `departements`(`idDepartement`, `numeroDepartement`, `libelleDepartement`, `idRegion`) VALUES (5,"5","Hautes-Alpes",13);</v>
      </c>
      <c r="H6">
        <v>5</v>
      </c>
      <c r="I6" t="s">
        <v>86</v>
      </c>
      <c r="J6">
        <v>2</v>
      </c>
      <c r="K6">
        <v>5</v>
      </c>
      <c r="L6" t="str">
        <f t="shared" si="2"/>
        <v>INSERT INTO `regions`(`idRegion`, `libelleRegion`, `numeroRegion`, `nombreDepartement`) VALUES (5,"Corse",5,2);</v>
      </c>
    </row>
    <row r="7" spans="1:12" x14ac:dyDescent="0.25">
      <c r="A7">
        <v>6</v>
      </c>
      <c r="B7">
        <v>6</v>
      </c>
      <c r="C7" t="s">
        <v>5</v>
      </c>
      <c r="D7" t="s">
        <v>97</v>
      </c>
      <c r="E7">
        <f t="shared" si="0"/>
        <v>13</v>
      </c>
      <c r="F7" t="str">
        <f t="shared" si="1"/>
        <v>INSERT INTO `departements`(`idDepartement`, `numeroDepartement`, `libelleDepartement`, `idRegion`) VALUES (6,"6","Alpes-Maritimes",13);</v>
      </c>
      <c r="H7">
        <v>6</v>
      </c>
      <c r="I7" t="s">
        <v>87</v>
      </c>
      <c r="J7">
        <v>10</v>
      </c>
      <c r="K7">
        <v>6</v>
      </c>
      <c r="L7" t="str">
        <f t="shared" si="2"/>
        <v>INSERT INTO `regions`(`idRegion`, `libelleRegion`, `numeroRegion`, `nombreDepartement`) VALUES (6,"Grand-Est",6,10);</v>
      </c>
    </row>
    <row r="8" spans="1:12" x14ac:dyDescent="0.25">
      <c r="A8">
        <v>7</v>
      </c>
      <c r="B8">
        <v>7</v>
      </c>
      <c r="C8" t="s">
        <v>102</v>
      </c>
      <c r="D8" t="s">
        <v>95</v>
      </c>
      <c r="E8">
        <f t="shared" si="0"/>
        <v>1</v>
      </c>
      <c r="F8" t="str">
        <f t="shared" si="1"/>
        <v>INSERT INTO `departements`(`idDepartement`, `numeroDepartement`, `libelleDepartement`, `idRegion`) VALUES (7,"7","Ardèche",1);</v>
      </c>
      <c r="H8">
        <v>7</v>
      </c>
      <c r="I8" t="s">
        <v>88</v>
      </c>
      <c r="J8">
        <v>5</v>
      </c>
      <c r="K8">
        <v>7</v>
      </c>
      <c r="L8" t="str">
        <f t="shared" si="2"/>
        <v>INSERT INTO `regions`(`idRegion`, `libelleRegion`, `numeroRegion`, `nombreDepartement`) VALUES (7,"Hauts-de-France",7,5);</v>
      </c>
    </row>
    <row r="9" spans="1:12" x14ac:dyDescent="0.25">
      <c r="A9">
        <v>8</v>
      </c>
      <c r="B9">
        <v>8</v>
      </c>
      <c r="C9" t="s">
        <v>6</v>
      </c>
      <c r="D9" t="s">
        <v>87</v>
      </c>
      <c r="E9">
        <f t="shared" si="0"/>
        <v>6</v>
      </c>
      <c r="F9" t="str">
        <f t="shared" si="1"/>
        <v>INSERT INTO `departements`(`idDepartement`, `numeroDepartement`, `libelleDepartement`, `idRegion`) VALUES (8,"8","Ardennes",6);</v>
      </c>
      <c r="H9">
        <v>8</v>
      </c>
      <c r="I9" t="s">
        <v>89</v>
      </c>
      <c r="J9">
        <v>8</v>
      </c>
      <c r="K9">
        <v>8</v>
      </c>
      <c r="L9" t="str">
        <f t="shared" si="2"/>
        <v>INSERT INTO `regions`(`idRegion`, `libelleRegion`, `numeroRegion`, `nombreDepartement`) VALUES (8,"Ile-de-France",8,8);</v>
      </c>
    </row>
    <row r="10" spans="1:12" x14ac:dyDescent="0.25">
      <c r="A10">
        <v>9</v>
      </c>
      <c r="B10">
        <v>9</v>
      </c>
      <c r="C10" t="s">
        <v>101</v>
      </c>
      <c r="D10" t="s">
        <v>92</v>
      </c>
      <c r="E10">
        <f t="shared" si="0"/>
        <v>11</v>
      </c>
      <c r="F10" t="str">
        <f t="shared" si="1"/>
        <v>INSERT INTO `departements`(`idDepartement`, `numeroDepartement`, `libelleDepartement`, `idRegion`) VALUES (9,"9","Ariège",11);</v>
      </c>
      <c r="H10">
        <v>9</v>
      </c>
      <c r="I10" t="s">
        <v>90</v>
      </c>
      <c r="J10">
        <v>5</v>
      </c>
      <c r="K10">
        <v>9</v>
      </c>
      <c r="L10" t="str">
        <f t="shared" si="2"/>
        <v>INSERT INTO `regions`(`idRegion`, `libelleRegion`, `numeroRegion`, `nombreDepartement`) VALUES (9,"Normandie",9,5);</v>
      </c>
    </row>
    <row r="11" spans="1:12" x14ac:dyDescent="0.25">
      <c r="A11">
        <v>10</v>
      </c>
      <c r="B11">
        <v>10</v>
      </c>
      <c r="C11" t="s">
        <v>7</v>
      </c>
      <c r="D11" t="s">
        <v>87</v>
      </c>
      <c r="E11">
        <f t="shared" si="0"/>
        <v>6</v>
      </c>
      <c r="F11" t="str">
        <f t="shared" si="1"/>
        <v>INSERT INTO `departements`(`idDepartement`, `numeroDepartement`, `libelleDepartement`, `idRegion`) VALUES (10,"10","Aube",6);</v>
      </c>
      <c r="H11">
        <v>10</v>
      </c>
      <c r="I11" t="s">
        <v>91</v>
      </c>
      <c r="J11">
        <v>12</v>
      </c>
      <c r="K11">
        <v>10</v>
      </c>
      <c r="L11" t="str">
        <f t="shared" si="2"/>
        <v>INSERT INTO `regions`(`idRegion`, `libelleRegion`, `numeroRegion`, `nombreDepartement`) VALUES (10,"Nouvelle-Aquitaine",10,12);</v>
      </c>
    </row>
    <row r="12" spans="1:12" x14ac:dyDescent="0.25">
      <c r="A12">
        <v>11</v>
      </c>
      <c r="B12">
        <v>11</v>
      </c>
      <c r="C12" t="s">
        <v>8</v>
      </c>
      <c r="D12" t="s">
        <v>92</v>
      </c>
      <c r="E12">
        <f t="shared" si="0"/>
        <v>11</v>
      </c>
      <c r="F12" t="str">
        <f t="shared" si="1"/>
        <v>INSERT INTO `departements`(`idDepartement`, `numeroDepartement`, `libelleDepartement`, `idRegion`) VALUES (11,"11","Aude",11);</v>
      </c>
      <c r="H12">
        <v>11</v>
      </c>
      <c r="I12" t="s">
        <v>92</v>
      </c>
      <c r="J12">
        <v>13</v>
      </c>
      <c r="K12">
        <v>11</v>
      </c>
      <c r="L12" t="str">
        <f t="shared" si="2"/>
        <v>INSERT INTO `regions`(`idRegion`, `libelleRegion`, `numeroRegion`, `nombreDepartement`) VALUES (11,"Occitanie",11,13);</v>
      </c>
    </row>
    <row r="13" spans="1:12" x14ac:dyDescent="0.25">
      <c r="A13">
        <v>12</v>
      </c>
      <c r="B13">
        <v>12</v>
      </c>
      <c r="C13" t="s">
        <v>9</v>
      </c>
      <c r="D13" t="s">
        <v>92</v>
      </c>
      <c r="E13">
        <f t="shared" si="0"/>
        <v>11</v>
      </c>
      <c r="F13" t="str">
        <f t="shared" si="1"/>
        <v>INSERT INTO `departements`(`idDepartement`, `numeroDepartement`, `libelleDepartement`, `idRegion`) VALUES (12,"12","Aveyron",11);</v>
      </c>
      <c r="H13">
        <v>12</v>
      </c>
      <c r="I13" t="s">
        <v>93</v>
      </c>
      <c r="J13">
        <v>5</v>
      </c>
      <c r="K13">
        <v>12</v>
      </c>
      <c r="L13" t="str">
        <f t="shared" si="2"/>
        <v>INSERT INTO `regions`(`idRegion`, `libelleRegion`, `numeroRegion`, `nombreDepartement`) VALUES (12,"Pays de la Loire",12,5);</v>
      </c>
    </row>
    <row r="14" spans="1:12" x14ac:dyDescent="0.25">
      <c r="A14">
        <v>13</v>
      </c>
      <c r="B14">
        <v>13</v>
      </c>
      <c r="C14" t="s">
        <v>103</v>
      </c>
      <c r="D14" t="s">
        <v>97</v>
      </c>
      <c r="E14">
        <f t="shared" si="0"/>
        <v>13</v>
      </c>
      <c r="F14" t="str">
        <f t="shared" si="1"/>
        <v>INSERT INTO `departements`(`idDepartement`, `numeroDepartement`, `libelleDepartement`, `idRegion`) VALUES (13,"13","Bouches-du-Rhône",13);</v>
      </c>
      <c r="H14">
        <v>13</v>
      </c>
      <c r="I14" t="s">
        <v>97</v>
      </c>
      <c r="J14">
        <v>6</v>
      </c>
      <c r="K14">
        <v>13</v>
      </c>
      <c r="L14" t="str">
        <f t="shared" si="2"/>
        <v>INSERT INTO `regions`(`idRegion`, `libelleRegion`, `numeroRegion`, `nombreDepartement`) VALUES (13,"Provence-Alpes-Côte d'Azur",13,6);</v>
      </c>
    </row>
    <row r="15" spans="1:12" x14ac:dyDescent="0.25">
      <c r="A15">
        <v>14</v>
      </c>
      <c r="B15">
        <v>14</v>
      </c>
      <c r="C15" t="s">
        <v>10</v>
      </c>
      <c r="D15" t="s">
        <v>90</v>
      </c>
      <c r="E15">
        <f t="shared" si="0"/>
        <v>9</v>
      </c>
      <c r="F15" t="str">
        <f t="shared" si="1"/>
        <v>INSERT INTO `departements`(`idDepartement`, `numeroDepartement`, `libelleDepartement`, `idRegion`) VALUES (14,"14","Calvados",9);</v>
      </c>
      <c r="H15">
        <v>14</v>
      </c>
      <c r="I15" t="s">
        <v>94</v>
      </c>
      <c r="J15">
        <v>12</v>
      </c>
      <c r="K15">
        <v>14</v>
      </c>
      <c r="L15" t="str">
        <f t="shared" si="2"/>
        <v>INSERT INTO `regions`(`idRegion`, `libelleRegion`, `numeroRegion`, `nombreDepartement`) VALUES (14,"DOM-TOM",14,12);</v>
      </c>
    </row>
    <row r="16" spans="1:12" x14ac:dyDescent="0.25">
      <c r="A16">
        <v>15</v>
      </c>
      <c r="B16">
        <v>15</v>
      </c>
      <c r="C16" t="s">
        <v>11</v>
      </c>
      <c r="D16" t="s">
        <v>95</v>
      </c>
      <c r="E16">
        <f t="shared" si="0"/>
        <v>1</v>
      </c>
      <c r="F16" t="str">
        <f t="shared" si="1"/>
        <v>INSERT INTO `departements`(`idDepartement`, `numeroDepartement`, `libelleDepartement`, `idRegion`) VALUES (15,"15","Cantal",1);</v>
      </c>
    </row>
    <row r="17" spans="1:6" x14ac:dyDescent="0.25">
      <c r="A17">
        <v>16</v>
      </c>
      <c r="B17">
        <v>16</v>
      </c>
      <c r="C17" t="s">
        <v>12</v>
      </c>
      <c r="D17" t="s">
        <v>91</v>
      </c>
      <c r="E17">
        <f t="shared" si="0"/>
        <v>10</v>
      </c>
      <c r="F17" t="str">
        <f t="shared" si="1"/>
        <v>INSERT INTO `departements`(`idDepartement`, `numeroDepartement`, `libelleDepartement`, `idRegion`) VALUES (16,"16","Charente",10);</v>
      </c>
    </row>
    <row r="18" spans="1:6" x14ac:dyDescent="0.25">
      <c r="A18">
        <v>17</v>
      </c>
      <c r="B18">
        <v>17</v>
      </c>
      <c r="C18" t="s">
        <v>13</v>
      </c>
      <c r="D18" t="s">
        <v>91</v>
      </c>
      <c r="E18">
        <f t="shared" si="0"/>
        <v>10</v>
      </c>
      <c r="F18" t="str">
        <f t="shared" si="1"/>
        <v>INSERT INTO `departements`(`idDepartement`, `numeroDepartement`, `libelleDepartement`, `idRegion`) VALUES (17,"17","Charente-Maritime",10);</v>
      </c>
    </row>
    <row r="19" spans="1:6" x14ac:dyDescent="0.25">
      <c r="A19">
        <v>18</v>
      </c>
      <c r="B19">
        <v>18</v>
      </c>
      <c r="C19" t="s">
        <v>14</v>
      </c>
      <c r="D19" t="s">
        <v>85</v>
      </c>
      <c r="E19">
        <f t="shared" si="0"/>
        <v>4</v>
      </c>
      <c r="F19" t="str">
        <f t="shared" si="1"/>
        <v>INSERT INTO `departements`(`idDepartement`, `numeroDepartement`, `libelleDepartement`, `idRegion`) VALUES (18,"18","Cher",4);</v>
      </c>
    </row>
    <row r="20" spans="1:6" x14ac:dyDescent="0.25">
      <c r="A20">
        <v>19</v>
      </c>
      <c r="B20">
        <v>19</v>
      </c>
      <c r="C20" t="s">
        <v>98</v>
      </c>
      <c r="D20" t="s">
        <v>91</v>
      </c>
      <c r="E20">
        <f t="shared" si="0"/>
        <v>10</v>
      </c>
      <c r="F20" t="str">
        <f t="shared" si="1"/>
        <v>INSERT INTO `departements`(`idDepartement`, `numeroDepartement`, `libelleDepartement`, `idRegion`) VALUES (19,"19","Correze",10);</v>
      </c>
    </row>
    <row r="21" spans="1:6" x14ac:dyDescent="0.25">
      <c r="A21">
        <v>20</v>
      </c>
      <c r="B21">
        <v>21</v>
      </c>
      <c r="C21" t="s">
        <v>99</v>
      </c>
      <c r="D21" t="s">
        <v>96</v>
      </c>
      <c r="E21">
        <f t="shared" si="0"/>
        <v>2</v>
      </c>
      <c r="F21" t="str">
        <f t="shared" si="1"/>
        <v>INSERT INTO `departements`(`idDepartement`, `numeroDepartement`, `libelleDepartement`, `idRegion`) VALUES (20,"21","Côte-d'Or",2);</v>
      </c>
    </row>
    <row r="22" spans="1:6" x14ac:dyDescent="0.25">
      <c r="A22">
        <v>21</v>
      </c>
      <c r="B22">
        <v>22</v>
      </c>
      <c r="C22" t="s">
        <v>100</v>
      </c>
      <c r="D22" t="s">
        <v>84</v>
      </c>
      <c r="E22">
        <f t="shared" si="0"/>
        <v>3</v>
      </c>
      <c r="F22" t="str">
        <f t="shared" si="1"/>
        <v>INSERT INTO `departements`(`idDepartement`, `numeroDepartement`, `libelleDepartement`, `idRegion`) VALUES (21,"22","Côtes-d'Armor",3);</v>
      </c>
    </row>
    <row r="23" spans="1:6" x14ac:dyDescent="0.25">
      <c r="A23">
        <v>22</v>
      </c>
      <c r="B23">
        <v>23</v>
      </c>
      <c r="C23" t="s">
        <v>15</v>
      </c>
      <c r="D23" t="s">
        <v>91</v>
      </c>
      <c r="E23">
        <f t="shared" si="0"/>
        <v>10</v>
      </c>
      <c r="F23" t="str">
        <f t="shared" si="1"/>
        <v>INSERT INTO `departements`(`idDepartement`, `numeroDepartement`, `libelleDepartement`, `idRegion`) VALUES (22,"23","Creuse",10);</v>
      </c>
    </row>
    <row r="24" spans="1:6" x14ac:dyDescent="0.25">
      <c r="A24">
        <v>23</v>
      </c>
      <c r="B24">
        <v>24</v>
      </c>
      <c r="C24" t="s">
        <v>16</v>
      </c>
      <c r="D24" t="s">
        <v>91</v>
      </c>
      <c r="E24">
        <f t="shared" si="0"/>
        <v>10</v>
      </c>
      <c r="F24" t="str">
        <f t="shared" si="1"/>
        <v>INSERT INTO `departements`(`idDepartement`, `numeroDepartement`, `libelleDepartement`, `idRegion`) VALUES (23,"24","Dordogne",10);</v>
      </c>
    </row>
    <row r="25" spans="1:6" x14ac:dyDescent="0.25">
      <c r="A25">
        <v>24</v>
      </c>
      <c r="B25">
        <v>25</v>
      </c>
      <c r="C25" t="s">
        <v>17</v>
      </c>
      <c r="D25" t="s">
        <v>96</v>
      </c>
      <c r="E25">
        <f t="shared" si="0"/>
        <v>2</v>
      </c>
      <c r="F25" t="str">
        <f t="shared" si="1"/>
        <v>INSERT INTO `departements`(`idDepartement`, `numeroDepartement`, `libelleDepartement`, `idRegion`) VALUES (24,"25","Doubs",2);</v>
      </c>
    </row>
    <row r="26" spans="1:6" x14ac:dyDescent="0.25">
      <c r="A26">
        <v>25</v>
      </c>
      <c r="B26">
        <v>26</v>
      </c>
      <c r="C26" t="s">
        <v>104</v>
      </c>
      <c r="D26" t="s">
        <v>95</v>
      </c>
      <c r="E26">
        <f t="shared" si="0"/>
        <v>1</v>
      </c>
      <c r="F26" t="str">
        <f t="shared" si="1"/>
        <v>INSERT INTO `departements`(`idDepartement`, `numeroDepartement`, `libelleDepartement`, `idRegion`) VALUES (25,"26","Drôme",1);</v>
      </c>
    </row>
    <row r="27" spans="1:6" x14ac:dyDescent="0.25">
      <c r="A27">
        <v>26</v>
      </c>
      <c r="B27">
        <v>27</v>
      </c>
      <c r="C27" t="s">
        <v>18</v>
      </c>
      <c r="D27" t="s">
        <v>90</v>
      </c>
      <c r="E27">
        <f t="shared" si="0"/>
        <v>9</v>
      </c>
      <c r="F27" t="str">
        <f t="shared" si="1"/>
        <v>INSERT INTO `departements`(`idDepartement`, `numeroDepartement`, `libelleDepartement`, `idRegion`) VALUES (26,"27","Eure",9);</v>
      </c>
    </row>
    <row r="28" spans="1:6" x14ac:dyDescent="0.25">
      <c r="A28">
        <v>27</v>
      </c>
      <c r="B28">
        <v>28</v>
      </c>
      <c r="C28" t="s">
        <v>19</v>
      </c>
      <c r="D28" t="s">
        <v>85</v>
      </c>
      <c r="E28">
        <f t="shared" si="0"/>
        <v>4</v>
      </c>
      <c r="F28" t="str">
        <f t="shared" si="1"/>
        <v>INSERT INTO `departements`(`idDepartement`, `numeroDepartement`, `libelleDepartement`, `idRegion`) VALUES (27,"28","Eure-et-Loir",4);</v>
      </c>
    </row>
    <row r="29" spans="1:6" x14ac:dyDescent="0.25">
      <c r="A29">
        <v>28</v>
      </c>
      <c r="B29">
        <v>29</v>
      </c>
      <c r="C29" t="s">
        <v>105</v>
      </c>
      <c r="D29" t="s">
        <v>84</v>
      </c>
      <c r="E29">
        <f t="shared" si="0"/>
        <v>3</v>
      </c>
      <c r="F29" t="str">
        <f t="shared" si="1"/>
        <v>INSERT INTO `departements`(`idDepartement`, `numeroDepartement`, `libelleDepartement`, `idRegion`) VALUES (28,"29","Finistère",3);</v>
      </c>
    </row>
    <row r="30" spans="1:6" x14ac:dyDescent="0.25">
      <c r="A30">
        <v>29</v>
      </c>
      <c r="B30" t="s">
        <v>20</v>
      </c>
      <c r="C30" t="s">
        <v>21</v>
      </c>
      <c r="D30" t="s">
        <v>86</v>
      </c>
      <c r="E30">
        <f t="shared" si="0"/>
        <v>5</v>
      </c>
      <c r="F30" t="str">
        <f t="shared" si="1"/>
        <v>INSERT INTO `departements`(`idDepartement`, `numeroDepartement`, `libelleDepartement`, `idRegion`) VALUES (29,"2A","Corse-du-Sud",5);</v>
      </c>
    </row>
    <row r="31" spans="1:6" x14ac:dyDescent="0.25">
      <c r="A31">
        <v>30</v>
      </c>
      <c r="B31" t="s">
        <v>22</v>
      </c>
      <c r="C31" t="s">
        <v>23</v>
      </c>
      <c r="D31" t="s">
        <v>86</v>
      </c>
      <c r="E31">
        <f t="shared" si="0"/>
        <v>5</v>
      </c>
      <c r="F31" t="str">
        <f t="shared" si="1"/>
        <v>INSERT INTO `departements`(`idDepartement`, `numeroDepartement`, `libelleDepartement`, `idRegion`) VALUES (30,"2B","Haute-Corse ",5);</v>
      </c>
    </row>
    <row r="32" spans="1:6" x14ac:dyDescent="0.25">
      <c r="A32">
        <v>31</v>
      </c>
      <c r="B32">
        <v>30</v>
      </c>
      <c r="C32" t="s">
        <v>24</v>
      </c>
      <c r="D32" t="s">
        <v>92</v>
      </c>
      <c r="E32">
        <f t="shared" si="0"/>
        <v>11</v>
      </c>
      <c r="F32" t="str">
        <f t="shared" si="1"/>
        <v>INSERT INTO `departements`(`idDepartement`, `numeroDepartement`, `libelleDepartement`, `idRegion`) VALUES (31,"30","Gard",11);</v>
      </c>
    </row>
    <row r="33" spans="1:6" x14ac:dyDescent="0.25">
      <c r="A33">
        <v>32</v>
      </c>
      <c r="B33">
        <v>31</v>
      </c>
      <c r="C33" t="s">
        <v>25</v>
      </c>
      <c r="D33" t="s">
        <v>92</v>
      </c>
      <c r="E33">
        <f t="shared" si="0"/>
        <v>11</v>
      </c>
      <c r="F33" t="str">
        <f t="shared" si="1"/>
        <v>INSERT INTO `departements`(`idDepartement`, `numeroDepartement`, `libelleDepartement`, `idRegion`) VALUES (32,"31","Haute-Garonne",11);</v>
      </c>
    </row>
    <row r="34" spans="1:6" x14ac:dyDescent="0.25">
      <c r="A34">
        <v>33</v>
      </c>
      <c r="B34">
        <v>32</v>
      </c>
      <c r="C34" t="s">
        <v>26</v>
      </c>
      <c r="D34" t="s">
        <v>92</v>
      </c>
      <c r="E34">
        <f t="shared" si="0"/>
        <v>11</v>
      </c>
      <c r="F34" t="str">
        <f t="shared" si="1"/>
        <v>INSERT INTO `departements`(`idDepartement`, `numeroDepartement`, `libelleDepartement`, `idRegion`) VALUES (33,"32","Gers",11);</v>
      </c>
    </row>
    <row r="35" spans="1:6" x14ac:dyDescent="0.25">
      <c r="A35">
        <v>34</v>
      </c>
      <c r="B35">
        <v>33</v>
      </c>
      <c r="C35" t="s">
        <v>27</v>
      </c>
      <c r="D35" t="s">
        <v>91</v>
      </c>
      <c r="E35">
        <f t="shared" si="0"/>
        <v>10</v>
      </c>
      <c r="F35" t="str">
        <f t="shared" si="1"/>
        <v>INSERT INTO `departements`(`idDepartement`, `numeroDepartement`, `libelleDepartement`, `idRegion`) VALUES (34,"33","Gironde",10);</v>
      </c>
    </row>
    <row r="36" spans="1:6" x14ac:dyDescent="0.25">
      <c r="A36">
        <v>35</v>
      </c>
      <c r="B36">
        <v>34</v>
      </c>
      <c r="C36" t="s">
        <v>106</v>
      </c>
      <c r="D36" t="s">
        <v>92</v>
      </c>
      <c r="E36">
        <f t="shared" si="0"/>
        <v>11</v>
      </c>
      <c r="F36" t="str">
        <f t="shared" si="1"/>
        <v>INSERT INTO `departements`(`idDepartement`, `numeroDepartement`, `libelleDepartement`, `idRegion`) VALUES (35,"34","Hérault",11);</v>
      </c>
    </row>
    <row r="37" spans="1:6" x14ac:dyDescent="0.25">
      <c r="A37">
        <v>36</v>
      </c>
      <c r="B37">
        <v>35</v>
      </c>
      <c r="C37" t="s">
        <v>28</v>
      </c>
      <c r="D37" t="s">
        <v>84</v>
      </c>
      <c r="E37">
        <f t="shared" si="0"/>
        <v>3</v>
      </c>
      <c r="F37" t="str">
        <f t="shared" si="1"/>
        <v>INSERT INTO `departements`(`idDepartement`, `numeroDepartement`, `libelleDepartement`, `idRegion`) VALUES (36,"35","Ille-et-Vilaine",3);</v>
      </c>
    </row>
    <row r="38" spans="1:6" x14ac:dyDescent="0.25">
      <c r="A38">
        <v>37</v>
      </c>
      <c r="B38">
        <v>36</v>
      </c>
      <c r="C38" t="s">
        <v>29</v>
      </c>
      <c r="D38" t="s">
        <v>85</v>
      </c>
      <c r="E38">
        <f t="shared" si="0"/>
        <v>4</v>
      </c>
      <c r="F38" t="str">
        <f t="shared" si="1"/>
        <v>INSERT INTO `departements`(`idDepartement`, `numeroDepartement`, `libelleDepartement`, `idRegion`) VALUES (37,"36","Indre",4);</v>
      </c>
    </row>
    <row r="39" spans="1:6" x14ac:dyDescent="0.25">
      <c r="A39">
        <v>38</v>
      </c>
      <c r="B39">
        <v>37</v>
      </c>
      <c r="C39" t="s">
        <v>30</v>
      </c>
      <c r="D39" t="s">
        <v>85</v>
      </c>
      <c r="E39">
        <f t="shared" si="0"/>
        <v>4</v>
      </c>
      <c r="F39" t="str">
        <f t="shared" si="1"/>
        <v>INSERT INTO `departements`(`idDepartement`, `numeroDepartement`, `libelleDepartement`, `idRegion`) VALUES (38,"37","Indre-et-Loire",4);</v>
      </c>
    </row>
    <row r="40" spans="1:6" x14ac:dyDescent="0.25">
      <c r="A40">
        <v>39</v>
      </c>
      <c r="B40">
        <v>38</v>
      </c>
      <c r="C40" t="s">
        <v>107</v>
      </c>
      <c r="D40" t="s">
        <v>95</v>
      </c>
      <c r="E40">
        <f t="shared" si="0"/>
        <v>1</v>
      </c>
      <c r="F40" t="str">
        <f t="shared" si="1"/>
        <v>INSERT INTO `departements`(`idDepartement`, `numeroDepartement`, `libelleDepartement`, `idRegion`) VALUES (39,"38","Isère",1);</v>
      </c>
    </row>
    <row r="41" spans="1:6" x14ac:dyDescent="0.25">
      <c r="A41">
        <v>40</v>
      </c>
      <c r="B41">
        <v>39</v>
      </c>
      <c r="C41" t="s">
        <v>31</v>
      </c>
      <c r="D41" t="s">
        <v>96</v>
      </c>
      <c r="E41">
        <f t="shared" si="0"/>
        <v>2</v>
      </c>
      <c r="F41" t="str">
        <f t="shared" si="1"/>
        <v>INSERT INTO `departements`(`idDepartement`, `numeroDepartement`, `libelleDepartement`, `idRegion`) VALUES (40,"39","Jura",2);</v>
      </c>
    </row>
    <row r="42" spans="1:6" x14ac:dyDescent="0.25">
      <c r="A42">
        <v>41</v>
      </c>
      <c r="B42">
        <v>40</v>
      </c>
      <c r="C42" t="s">
        <v>32</v>
      </c>
      <c r="D42" t="s">
        <v>91</v>
      </c>
      <c r="E42">
        <f t="shared" si="0"/>
        <v>10</v>
      </c>
      <c r="F42" t="str">
        <f t="shared" si="1"/>
        <v>INSERT INTO `departements`(`idDepartement`, `numeroDepartement`, `libelleDepartement`, `idRegion`) VALUES (41,"40","Landes",10);</v>
      </c>
    </row>
    <row r="43" spans="1:6" x14ac:dyDescent="0.25">
      <c r="A43">
        <v>42</v>
      </c>
      <c r="B43">
        <v>41</v>
      </c>
      <c r="C43" t="s">
        <v>33</v>
      </c>
      <c r="D43" t="s">
        <v>85</v>
      </c>
      <c r="E43">
        <f t="shared" si="0"/>
        <v>4</v>
      </c>
      <c r="F43" t="str">
        <f t="shared" si="1"/>
        <v>INSERT INTO `departements`(`idDepartement`, `numeroDepartement`, `libelleDepartement`, `idRegion`) VALUES (42,"41","Loir-et-Cher",4);</v>
      </c>
    </row>
    <row r="44" spans="1:6" x14ac:dyDescent="0.25">
      <c r="A44">
        <v>43</v>
      </c>
      <c r="B44">
        <v>42</v>
      </c>
      <c r="C44" t="s">
        <v>34</v>
      </c>
      <c r="D44" t="s">
        <v>95</v>
      </c>
      <c r="E44">
        <f t="shared" si="0"/>
        <v>1</v>
      </c>
      <c r="F44" t="str">
        <f t="shared" si="1"/>
        <v>INSERT INTO `departements`(`idDepartement`, `numeroDepartement`, `libelleDepartement`, `idRegion`) VALUES (43,"42","Loire",1);</v>
      </c>
    </row>
    <row r="45" spans="1:6" x14ac:dyDescent="0.25">
      <c r="A45">
        <v>44</v>
      </c>
      <c r="B45">
        <v>43</v>
      </c>
      <c r="C45" t="s">
        <v>35</v>
      </c>
      <c r="D45" t="s">
        <v>95</v>
      </c>
      <c r="E45">
        <f t="shared" si="0"/>
        <v>1</v>
      </c>
      <c r="F45" t="str">
        <f t="shared" si="1"/>
        <v>INSERT INTO `departements`(`idDepartement`, `numeroDepartement`, `libelleDepartement`, `idRegion`) VALUES (44,"43","Haute-Loire",1);</v>
      </c>
    </row>
    <row r="46" spans="1:6" x14ac:dyDescent="0.25">
      <c r="A46">
        <v>45</v>
      </c>
      <c r="B46">
        <v>44</v>
      </c>
      <c r="C46" t="s">
        <v>36</v>
      </c>
      <c r="D46" t="s">
        <v>93</v>
      </c>
      <c r="E46">
        <f t="shared" si="0"/>
        <v>12</v>
      </c>
      <c r="F46" t="str">
        <f t="shared" si="1"/>
        <v>INSERT INTO `departements`(`idDepartement`, `numeroDepartement`, `libelleDepartement`, `idRegion`) VALUES (45,"44","Loire-Atlantique",12);</v>
      </c>
    </row>
    <row r="47" spans="1:6" x14ac:dyDescent="0.25">
      <c r="A47">
        <v>46</v>
      </c>
      <c r="B47">
        <v>45</v>
      </c>
      <c r="C47" t="s">
        <v>37</v>
      </c>
      <c r="D47" t="s">
        <v>85</v>
      </c>
      <c r="E47">
        <f t="shared" si="0"/>
        <v>4</v>
      </c>
      <c r="F47" t="str">
        <f t="shared" si="1"/>
        <v>INSERT INTO `departements`(`idDepartement`, `numeroDepartement`, `libelleDepartement`, `idRegion`) VALUES (46,"45","Loiret",4);</v>
      </c>
    </row>
    <row r="48" spans="1:6" x14ac:dyDescent="0.25">
      <c r="A48">
        <v>47</v>
      </c>
      <c r="B48">
        <v>46</v>
      </c>
      <c r="C48" t="s">
        <v>38</v>
      </c>
      <c r="D48" t="s">
        <v>92</v>
      </c>
      <c r="E48">
        <f t="shared" si="0"/>
        <v>11</v>
      </c>
      <c r="F48" t="str">
        <f t="shared" si="1"/>
        <v>INSERT INTO `departements`(`idDepartement`, `numeroDepartement`, `libelleDepartement`, `idRegion`) VALUES (47,"46","Lot",11);</v>
      </c>
    </row>
    <row r="49" spans="1:6" x14ac:dyDescent="0.25">
      <c r="A49">
        <v>48</v>
      </c>
      <c r="B49">
        <v>47</v>
      </c>
      <c r="C49" t="s">
        <v>39</v>
      </c>
      <c r="D49" t="s">
        <v>91</v>
      </c>
      <c r="E49">
        <f t="shared" si="0"/>
        <v>10</v>
      </c>
      <c r="F49" t="str">
        <f t="shared" si="1"/>
        <v>INSERT INTO `departements`(`idDepartement`, `numeroDepartement`, `libelleDepartement`, `idRegion`) VALUES (48,"47","Lot-et-Garonne",10);</v>
      </c>
    </row>
    <row r="50" spans="1:6" x14ac:dyDescent="0.25">
      <c r="A50">
        <v>49</v>
      </c>
      <c r="B50">
        <v>48</v>
      </c>
      <c r="C50" t="s">
        <v>108</v>
      </c>
      <c r="D50" t="s">
        <v>92</v>
      </c>
      <c r="E50">
        <f t="shared" si="0"/>
        <v>11</v>
      </c>
      <c r="F50" t="str">
        <f t="shared" si="1"/>
        <v>INSERT INTO `departements`(`idDepartement`, `numeroDepartement`, `libelleDepartement`, `idRegion`) VALUES (49,"48","Lozère",11);</v>
      </c>
    </row>
    <row r="51" spans="1:6" x14ac:dyDescent="0.25">
      <c r="A51">
        <v>50</v>
      </c>
      <c r="B51">
        <v>49</v>
      </c>
      <c r="C51" t="s">
        <v>40</v>
      </c>
      <c r="D51" t="s">
        <v>93</v>
      </c>
      <c r="E51">
        <f t="shared" si="0"/>
        <v>12</v>
      </c>
      <c r="F51" t="str">
        <f t="shared" si="1"/>
        <v>INSERT INTO `departements`(`idDepartement`, `numeroDepartement`, `libelleDepartement`, `idRegion`) VALUES (50,"49","Maine-et-Loire",12);</v>
      </c>
    </row>
    <row r="52" spans="1:6" x14ac:dyDescent="0.25">
      <c r="A52">
        <v>51</v>
      </c>
      <c r="B52">
        <v>50</v>
      </c>
      <c r="C52" t="s">
        <v>41</v>
      </c>
      <c r="D52" t="s">
        <v>90</v>
      </c>
      <c r="E52">
        <f t="shared" si="0"/>
        <v>9</v>
      </c>
      <c r="F52" t="str">
        <f t="shared" si="1"/>
        <v>INSERT INTO `departements`(`idDepartement`, `numeroDepartement`, `libelleDepartement`, `idRegion`) VALUES (51,"50","Manche",9);</v>
      </c>
    </row>
    <row r="53" spans="1:6" x14ac:dyDescent="0.25">
      <c r="A53">
        <v>52</v>
      </c>
      <c r="B53">
        <v>51</v>
      </c>
      <c r="C53" t="s">
        <v>42</v>
      </c>
      <c r="D53" t="s">
        <v>87</v>
      </c>
      <c r="E53">
        <f t="shared" si="0"/>
        <v>6</v>
      </c>
      <c r="F53" t="str">
        <f t="shared" si="1"/>
        <v>INSERT INTO `departements`(`idDepartement`, `numeroDepartement`, `libelleDepartement`, `idRegion`) VALUES (52,"51","Marne",6);</v>
      </c>
    </row>
    <row r="54" spans="1:6" x14ac:dyDescent="0.25">
      <c r="A54">
        <v>53</v>
      </c>
      <c r="B54">
        <v>52</v>
      </c>
      <c r="C54" t="s">
        <v>43</v>
      </c>
      <c r="D54" t="s">
        <v>87</v>
      </c>
      <c r="E54">
        <f t="shared" si="0"/>
        <v>6</v>
      </c>
      <c r="F54" t="str">
        <f t="shared" si="1"/>
        <v>INSERT INTO `departements`(`idDepartement`, `numeroDepartement`, `libelleDepartement`, `idRegion`) VALUES (53,"52","Haute-Marne",6);</v>
      </c>
    </row>
    <row r="55" spans="1:6" x14ac:dyDescent="0.25">
      <c r="A55">
        <v>54</v>
      </c>
      <c r="B55">
        <v>53</v>
      </c>
      <c r="C55" t="s">
        <v>44</v>
      </c>
      <c r="D55" t="s">
        <v>93</v>
      </c>
      <c r="E55">
        <f t="shared" si="0"/>
        <v>12</v>
      </c>
      <c r="F55" t="str">
        <f t="shared" si="1"/>
        <v>INSERT INTO `departements`(`idDepartement`, `numeroDepartement`, `libelleDepartement`, `idRegion`) VALUES (54,"53","Mayenne",12);</v>
      </c>
    </row>
    <row r="56" spans="1:6" x14ac:dyDescent="0.25">
      <c r="A56">
        <v>55</v>
      </c>
      <c r="B56">
        <v>54</v>
      </c>
      <c r="C56" t="s">
        <v>45</v>
      </c>
      <c r="D56" t="s">
        <v>87</v>
      </c>
      <c r="E56">
        <f t="shared" si="0"/>
        <v>6</v>
      </c>
      <c r="F56" t="str">
        <f t="shared" si="1"/>
        <v>INSERT INTO `departements`(`idDepartement`, `numeroDepartement`, `libelleDepartement`, `idRegion`) VALUES (55,"54","Meurthe-et-Moselle",6);</v>
      </c>
    </row>
    <row r="57" spans="1:6" x14ac:dyDescent="0.25">
      <c r="A57">
        <v>56</v>
      </c>
      <c r="B57">
        <v>55</v>
      </c>
      <c r="C57" t="s">
        <v>46</v>
      </c>
      <c r="D57" t="s">
        <v>87</v>
      </c>
      <c r="E57">
        <f t="shared" si="0"/>
        <v>6</v>
      </c>
      <c r="F57" t="str">
        <f t="shared" si="1"/>
        <v>INSERT INTO `departements`(`idDepartement`, `numeroDepartement`, `libelleDepartement`, `idRegion`) VALUES (56,"55","Meuse",6);</v>
      </c>
    </row>
    <row r="58" spans="1:6" x14ac:dyDescent="0.25">
      <c r="A58">
        <v>57</v>
      </c>
      <c r="B58">
        <v>56</v>
      </c>
      <c r="C58" t="s">
        <v>47</v>
      </c>
      <c r="D58" t="s">
        <v>84</v>
      </c>
      <c r="E58">
        <f t="shared" si="0"/>
        <v>3</v>
      </c>
      <c r="F58" t="str">
        <f t="shared" si="1"/>
        <v>INSERT INTO `departements`(`idDepartement`, `numeroDepartement`, `libelleDepartement`, `idRegion`) VALUES (57,"56","Morbihan",3);</v>
      </c>
    </row>
    <row r="59" spans="1:6" x14ac:dyDescent="0.25">
      <c r="A59">
        <v>58</v>
      </c>
      <c r="B59">
        <v>57</v>
      </c>
      <c r="C59" t="s">
        <v>48</v>
      </c>
      <c r="D59" t="s">
        <v>87</v>
      </c>
      <c r="E59">
        <f t="shared" si="0"/>
        <v>6</v>
      </c>
      <c r="F59" t="str">
        <f t="shared" si="1"/>
        <v>INSERT INTO `departements`(`idDepartement`, `numeroDepartement`, `libelleDepartement`, `idRegion`) VALUES (58,"57","Moselle",6);</v>
      </c>
    </row>
    <row r="60" spans="1:6" x14ac:dyDescent="0.25">
      <c r="A60">
        <v>59</v>
      </c>
      <c r="B60">
        <v>58</v>
      </c>
      <c r="C60" t="s">
        <v>109</v>
      </c>
      <c r="D60" t="s">
        <v>96</v>
      </c>
      <c r="E60">
        <f t="shared" si="0"/>
        <v>2</v>
      </c>
      <c r="F60" t="str">
        <f t="shared" si="1"/>
        <v>INSERT INTO `departements`(`idDepartement`, `numeroDepartement`, `libelleDepartement`, `idRegion`) VALUES (59,"58","Nièvre",2);</v>
      </c>
    </row>
    <row r="61" spans="1:6" x14ac:dyDescent="0.25">
      <c r="A61">
        <v>60</v>
      </c>
      <c r="B61">
        <v>59</v>
      </c>
      <c r="C61" t="s">
        <v>49</v>
      </c>
      <c r="D61" t="s">
        <v>88</v>
      </c>
      <c r="E61">
        <f t="shared" si="0"/>
        <v>7</v>
      </c>
      <c r="F61" t="str">
        <f t="shared" si="1"/>
        <v>INSERT INTO `departements`(`idDepartement`, `numeroDepartement`, `libelleDepartement`, `idRegion`) VALUES (60,"59","Nord",7);</v>
      </c>
    </row>
    <row r="62" spans="1:6" x14ac:dyDescent="0.25">
      <c r="A62">
        <v>61</v>
      </c>
      <c r="B62">
        <v>60</v>
      </c>
      <c r="C62" t="s">
        <v>50</v>
      </c>
      <c r="D62" t="s">
        <v>88</v>
      </c>
      <c r="E62">
        <f t="shared" si="0"/>
        <v>7</v>
      </c>
      <c r="F62" t="str">
        <f t="shared" si="1"/>
        <v>INSERT INTO `departements`(`idDepartement`, `numeroDepartement`, `libelleDepartement`, `idRegion`) VALUES (61,"60","Oise",7);</v>
      </c>
    </row>
    <row r="63" spans="1:6" x14ac:dyDescent="0.25">
      <c r="A63">
        <v>62</v>
      </c>
      <c r="B63">
        <v>61</v>
      </c>
      <c r="C63" t="s">
        <v>51</v>
      </c>
      <c r="D63" t="s">
        <v>90</v>
      </c>
      <c r="E63">
        <f t="shared" si="0"/>
        <v>9</v>
      </c>
      <c r="F63" t="str">
        <f t="shared" si="1"/>
        <v>INSERT INTO `departements`(`idDepartement`, `numeroDepartement`, `libelleDepartement`, `idRegion`) VALUES (62,"61","Orne",9);</v>
      </c>
    </row>
    <row r="64" spans="1:6" x14ac:dyDescent="0.25">
      <c r="A64">
        <v>63</v>
      </c>
      <c r="B64">
        <v>62</v>
      </c>
      <c r="C64" t="s">
        <v>52</v>
      </c>
      <c r="D64" t="s">
        <v>88</v>
      </c>
      <c r="E64">
        <f t="shared" si="0"/>
        <v>7</v>
      </c>
      <c r="F64" t="str">
        <f t="shared" si="1"/>
        <v>INSERT INTO `departements`(`idDepartement`, `numeroDepartement`, `libelleDepartement`, `idRegion`) VALUES (63,"62","Pas-de-Calais",7);</v>
      </c>
    </row>
    <row r="65" spans="1:6" x14ac:dyDescent="0.25">
      <c r="A65">
        <v>64</v>
      </c>
      <c r="B65">
        <v>63</v>
      </c>
      <c r="C65" t="s">
        <v>111</v>
      </c>
      <c r="D65" t="s">
        <v>95</v>
      </c>
      <c r="E65">
        <f t="shared" si="0"/>
        <v>1</v>
      </c>
      <c r="F65" t="str">
        <f t="shared" si="1"/>
        <v>INSERT INTO `departements`(`idDepartement`, `numeroDepartement`, `libelleDepartement`, `idRegion`) VALUES (64,"63","Puy-de-Dôme",1);</v>
      </c>
    </row>
    <row r="66" spans="1:6" x14ac:dyDescent="0.25">
      <c r="A66">
        <v>65</v>
      </c>
      <c r="B66">
        <v>64</v>
      </c>
      <c r="C66" t="s">
        <v>115</v>
      </c>
      <c r="D66" t="s">
        <v>91</v>
      </c>
      <c r="E66">
        <f t="shared" si="0"/>
        <v>10</v>
      </c>
      <c r="F66" t="str">
        <f t="shared" si="1"/>
        <v>INSERT INTO `departements`(`idDepartement`, `numeroDepartement`, `libelleDepartement`, `idRegion`) VALUES (65,"64","Pyrénées-Atlantiques",10);</v>
      </c>
    </row>
    <row r="67" spans="1:6" x14ac:dyDescent="0.25">
      <c r="A67">
        <v>66</v>
      </c>
      <c r="B67">
        <v>65</v>
      </c>
      <c r="C67" t="s">
        <v>116</v>
      </c>
      <c r="D67" t="s">
        <v>92</v>
      </c>
      <c r="E67">
        <f t="shared" ref="E67:E109" si="3">VLOOKUP(D67,$I$2:$K$15,3,0)</f>
        <v>11</v>
      </c>
      <c r="F67" t="str">
        <f t="shared" ref="F67:F110" si="4">"INSERT INTO `departements`(`idDepartement`, `numeroDepartement`, `libelleDepartement`, `idRegion`) VALUES ("&amp;A67&amp;",""" &amp; B67 &amp; """,""" &amp; C67 &amp; """," &amp; E67 &amp; ");"</f>
        <v>INSERT INTO `departements`(`idDepartement`, `numeroDepartement`, `libelleDepartement`, `idRegion`) VALUES (66,"65","Hautes-Pyrénées",11);</v>
      </c>
    </row>
    <row r="68" spans="1:6" x14ac:dyDescent="0.25">
      <c r="A68">
        <v>67</v>
      </c>
      <c r="B68">
        <v>66</v>
      </c>
      <c r="C68" t="s">
        <v>117</v>
      </c>
      <c r="D68" t="s">
        <v>92</v>
      </c>
      <c r="E68">
        <f t="shared" si="3"/>
        <v>11</v>
      </c>
      <c r="F68" t="str">
        <f t="shared" si="4"/>
        <v>INSERT INTO `departements`(`idDepartement`, `numeroDepartement`, `libelleDepartement`, `idRegion`) VALUES (67,"66","Pyrénées-Orientales",11);</v>
      </c>
    </row>
    <row r="69" spans="1:6" x14ac:dyDescent="0.25">
      <c r="A69">
        <v>68</v>
      </c>
      <c r="B69">
        <v>67</v>
      </c>
      <c r="C69" t="s">
        <v>53</v>
      </c>
      <c r="D69" t="s">
        <v>87</v>
      </c>
      <c r="E69">
        <f t="shared" si="3"/>
        <v>6</v>
      </c>
      <c r="F69" t="str">
        <f t="shared" si="4"/>
        <v>INSERT INTO `departements`(`idDepartement`, `numeroDepartement`, `libelleDepartement`, `idRegion`) VALUES (68,"67","Bas-Rhin",6);</v>
      </c>
    </row>
    <row r="70" spans="1:6" x14ac:dyDescent="0.25">
      <c r="A70">
        <v>69</v>
      </c>
      <c r="B70">
        <v>68</v>
      </c>
      <c r="C70" t="s">
        <v>54</v>
      </c>
      <c r="D70" t="s">
        <v>87</v>
      </c>
      <c r="E70">
        <f t="shared" si="3"/>
        <v>6</v>
      </c>
      <c r="F70" t="str">
        <f t="shared" si="4"/>
        <v>INSERT INTO `departements`(`idDepartement`, `numeroDepartement`, `libelleDepartement`, `idRegion`) VALUES (69,"68","Haut-Rhin",6);</v>
      </c>
    </row>
    <row r="71" spans="1:6" x14ac:dyDescent="0.25">
      <c r="A71">
        <v>70</v>
      </c>
      <c r="B71">
        <v>69</v>
      </c>
      <c r="C71" t="s">
        <v>112</v>
      </c>
      <c r="D71" t="s">
        <v>95</v>
      </c>
      <c r="E71">
        <f t="shared" si="3"/>
        <v>1</v>
      </c>
      <c r="F71" t="str">
        <f t="shared" si="4"/>
        <v>INSERT INTO `departements`(`idDepartement`, `numeroDepartement`, `libelleDepartement`, `idRegion`) VALUES (70,"69","Rhône",1);</v>
      </c>
    </row>
    <row r="72" spans="1:6" x14ac:dyDescent="0.25">
      <c r="A72">
        <v>71</v>
      </c>
      <c r="B72">
        <v>70</v>
      </c>
      <c r="C72" t="s">
        <v>113</v>
      </c>
      <c r="D72" t="s">
        <v>96</v>
      </c>
      <c r="E72">
        <f t="shared" si="3"/>
        <v>2</v>
      </c>
      <c r="F72" t="str">
        <f t="shared" si="4"/>
        <v>INSERT INTO `departements`(`idDepartement`, `numeroDepartement`, `libelleDepartement`, `idRegion`) VALUES (71,"70","Haute-Saône",2);</v>
      </c>
    </row>
    <row r="73" spans="1:6" x14ac:dyDescent="0.25">
      <c r="A73">
        <v>72</v>
      </c>
      <c r="B73">
        <v>71</v>
      </c>
      <c r="C73" t="s">
        <v>114</v>
      </c>
      <c r="D73" t="s">
        <v>96</v>
      </c>
      <c r="E73">
        <f t="shared" si="3"/>
        <v>2</v>
      </c>
      <c r="F73" t="str">
        <f t="shared" si="4"/>
        <v>INSERT INTO `departements`(`idDepartement`, `numeroDepartement`, `libelleDepartement`, `idRegion`) VALUES (72,"71","Saône-et-Loire",2);</v>
      </c>
    </row>
    <row r="74" spans="1:6" x14ac:dyDescent="0.25">
      <c r="A74">
        <v>73</v>
      </c>
      <c r="B74">
        <v>72</v>
      </c>
      <c r="C74" t="s">
        <v>55</v>
      </c>
      <c r="D74" t="s">
        <v>93</v>
      </c>
      <c r="E74">
        <f t="shared" si="3"/>
        <v>12</v>
      </c>
      <c r="F74" t="str">
        <f t="shared" si="4"/>
        <v>INSERT INTO `departements`(`idDepartement`, `numeroDepartement`, `libelleDepartement`, `idRegion`) VALUES (73,"72","Sarthe",12);</v>
      </c>
    </row>
    <row r="75" spans="1:6" x14ac:dyDescent="0.25">
      <c r="A75">
        <v>74</v>
      </c>
      <c r="B75">
        <v>73</v>
      </c>
      <c r="C75" t="s">
        <v>56</v>
      </c>
      <c r="D75" t="s">
        <v>95</v>
      </c>
      <c r="E75">
        <f t="shared" si="3"/>
        <v>1</v>
      </c>
      <c r="F75" t="str">
        <f t="shared" si="4"/>
        <v>INSERT INTO `departements`(`idDepartement`, `numeroDepartement`, `libelleDepartement`, `idRegion`) VALUES (74,"73","Savoie",1);</v>
      </c>
    </row>
    <row r="76" spans="1:6" x14ac:dyDescent="0.25">
      <c r="A76">
        <v>75</v>
      </c>
      <c r="B76">
        <v>74</v>
      </c>
      <c r="C76" t="s">
        <v>57</v>
      </c>
      <c r="D76" t="s">
        <v>95</v>
      </c>
      <c r="E76">
        <f t="shared" si="3"/>
        <v>1</v>
      </c>
      <c r="F76" t="str">
        <f t="shared" si="4"/>
        <v>INSERT INTO `departements`(`idDepartement`, `numeroDepartement`, `libelleDepartement`, `idRegion`) VALUES (75,"74","Haute-Savoie",1);</v>
      </c>
    </row>
    <row r="77" spans="1:6" x14ac:dyDescent="0.25">
      <c r="A77">
        <v>76</v>
      </c>
      <c r="B77">
        <v>75</v>
      </c>
      <c r="C77" t="s">
        <v>58</v>
      </c>
      <c r="D77" t="s">
        <v>89</v>
      </c>
      <c r="E77">
        <f t="shared" si="3"/>
        <v>8</v>
      </c>
      <c r="F77" t="str">
        <f t="shared" si="4"/>
        <v>INSERT INTO `departements`(`idDepartement`, `numeroDepartement`, `libelleDepartement`, `idRegion`) VALUES (76,"75","Paris",8);</v>
      </c>
    </row>
    <row r="78" spans="1:6" x14ac:dyDescent="0.25">
      <c r="A78">
        <v>77</v>
      </c>
      <c r="B78">
        <v>76</v>
      </c>
      <c r="C78" t="s">
        <v>59</v>
      </c>
      <c r="D78" t="s">
        <v>90</v>
      </c>
      <c r="E78">
        <f t="shared" si="3"/>
        <v>9</v>
      </c>
      <c r="F78" t="str">
        <f t="shared" si="4"/>
        <v>INSERT INTO `departements`(`idDepartement`, `numeroDepartement`, `libelleDepartement`, `idRegion`) VALUES (77,"76","Seine-Maritime",9);</v>
      </c>
    </row>
    <row r="79" spans="1:6" x14ac:dyDescent="0.25">
      <c r="A79">
        <v>78</v>
      </c>
      <c r="B79">
        <v>77</v>
      </c>
      <c r="C79" t="s">
        <v>60</v>
      </c>
      <c r="D79" t="s">
        <v>89</v>
      </c>
      <c r="E79">
        <f t="shared" si="3"/>
        <v>8</v>
      </c>
      <c r="F79" t="str">
        <f t="shared" si="4"/>
        <v>INSERT INTO `departements`(`idDepartement`, `numeroDepartement`, `libelleDepartement`, `idRegion`) VALUES (78,"77","Seine-et-Marne",8);</v>
      </c>
    </row>
    <row r="80" spans="1:6" x14ac:dyDescent="0.25">
      <c r="A80">
        <v>79</v>
      </c>
      <c r="B80">
        <v>78</v>
      </c>
      <c r="C80" t="s">
        <v>61</v>
      </c>
      <c r="D80" t="s">
        <v>89</v>
      </c>
      <c r="E80">
        <f t="shared" si="3"/>
        <v>8</v>
      </c>
      <c r="F80" t="str">
        <f t="shared" si="4"/>
        <v>INSERT INTO `departements`(`idDepartement`, `numeroDepartement`, `libelleDepartement`, `idRegion`) VALUES (79,"78","Yvelines",8);</v>
      </c>
    </row>
    <row r="81" spans="1:6" x14ac:dyDescent="0.25">
      <c r="A81">
        <v>80</v>
      </c>
      <c r="B81">
        <v>79</v>
      </c>
      <c r="C81" t="s">
        <v>110</v>
      </c>
      <c r="D81" t="s">
        <v>91</v>
      </c>
      <c r="E81">
        <f t="shared" si="3"/>
        <v>10</v>
      </c>
      <c r="F81" t="str">
        <f t="shared" si="4"/>
        <v>INSERT INTO `departements`(`idDepartement`, `numeroDepartement`, `libelleDepartement`, `idRegion`) VALUES (80,"79","Deux-Sèvres",10);</v>
      </c>
    </row>
    <row r="82" spans="1:6" x14ac:dyDescent="0.25">
      <c r="A82">
        <v>81</v>
      </c>
      <c r="B82">
        <v>80</v>
      </c>
      <c r="C82" t="s">
        <v>62</v>
      </c>
      <c r="D82" t="s">
        <v>88</v>
      </c>
      <c r="E82">
        <f t="shared" si="3"/>
        <v>7</v>
      </c>
      <c r="F82" t="str">
        <f t="shared" si="4"/>
        <v>INSERT INTO `departements`(`idDepartement`, `numeroDepartement`, `libelleDepartement`, `idRegion`) VALUES (81,"80","Somme",7);</v>
      </c>
    </row>
    <row r="83" spans="1:6" x14ac:dyDescent="0.25">
      <c r="A83">
        <v>82</v>
      </c>
      <c r="B83">
        <v>81</v>
      </c>
      <c r="C83" t="s">
        <v>63</v>
      </c>
      <c r="D83" t="s">
        <v>92</v>
      </c>
      <c r="E83">
        <f t="shared" si="3"/>
        <v>11</v>
      </c>
      <c r="F83" t="str">
        <f t="shared" si="4"/>
        <v>INSERT INTO `departements`(`idDepartement`, `numeroDepartement`, `libelleDepartement`, `idRegion`) VALUES (82,"81","Tarn",11);</v>
      </c>
    </row>
    <row r="84" spans="1:6" x14ac:dyDescent="0.25">
      <c r="A84">
        <v>83</v>
      </c>
      <c r="B84">
        <v>82</v>
      </c>
      <c r="C84" t="s">
        <v>64</v>
      </c>
      <c r="D84" t="s">
        <v>92</v>
      </c>
      <c r="E84">
        <f t="shared" si="3"/>
        <v>11</v>
      </c>
      <c r="F84" t="str">
        <f t="shared" si="4"/>
        <v>INSERT INTO `departements`(`idDepartement`, `numeroDepartement`, `libelleDepartement`, `idRegion`) VALUES (83,"82","Tarn-et-Garonne",11);</v>
      </c>
    </row>
    <row r="85" spans="1:6" x14ac:dyDescent="0.25">
      <c r="A85">
        <v>84</v>
      </c>
      <c r="B85">
        <v>83</v>
      </c>
      <c r="C85" t="s">
        <v>65</v>
      </c>
      <c r="D85" t="s">
        <v>97</v>
      </c>
      <c r="E85">
        <f t="shared" si="3"/>
        <v>13</v>
      </c>
      <c r="F85" t="str">
        <f t="shared" si="4"/>
        <v>INSERT INTO `departements`(`idDepartement`, `numeroDepartement`, `libelleDepartement`, `idRegion`) VALUES (84,"83","Var",13);</v>
      </c>
    </row>
    <row r="86" spans="1:6" x14ac:dyDescent="0.25">
      <c r="A86">
        <v>85</v>
      </c>
      <c r="B86">
        <v>84</v>
      </c>
      <c r="C86" t="s">
        <v>66</v>
      </c>
      <c r="D86" t="s">
        <v>97</v>
      </c>
      <c r="E86">
        <f t="shared" si="3"/>
        <v>13</v>
      </c>
      <c r="F86" t="str">
        <f t="shared" si="4"/>
        <v>INSERT INTO `departements`(`idDepartement`, `numeroDepartement`, `libelleDepartement`, `idRegion`) VALUES (85,"84","Vaucluse",13);</v>
      </c>
    </row>
    <row r="87" spans="1:6" x14ac:dyDescent="0.25">
      <c r="A87">
        <v>86</v>
      </c>
      <c r="B87">
        <v>85</v>
      </c>
      <c r="C87" t="s">
        <v>118</v>
      </c>
      <c r="D87" t="s">
        <v>93</v>
      </c>
      <c r="E87">
        <f t="shared" si="3"/>
        <v>12</v>
      </c>
      <c r="F87" t="str">
        <f t="shared" si="4"/>
        <v>INSERT INTO `departements`(`idDepartement`, `numeroDepartement`, `libelleDepartement`, `idRegion`) VALUES (86,"85","Vendée",12);</v>
      </c>
    </row>
    <row r="88" spans="1:6" x14ac:dyDescent="0.25">
      <c r="A88">
        <v>87</v>
      </c>
      <c r="B88">
        <v>86</v>
      </c>
      <c r="C88" t="s">
        <v>67</v>
      </c>
      <c r="D88" t="s">
        <v>91</v>
      </c>
      <c r="E88">
        <f t="shared" si="3"/>
        <v>10</v>
      </c>
      <c r="F88" t="str">
        <f t="shared" si="4"/>
        <v>INSERT INTO `departements`(`idDepartement`, `numeroDepartement`, `libelleDepartement`, `idRegion`) VALUES (87,"86","Vienne",10);</v>
      </c>
    </row>
    <row r="89" spans="1:6" x14ac:dyDescent="0.25">
      <c r="A89">
        <v>88</v>
      </c>
      <c r="B89">
        <v>87</v>
      </c>
      <c r="C89" t="s">
        <v>68</v>
      </c>
      <c r="D89" t="s">
        <v>91</v>
      </c>
      <c r="E89">
        <f t="shared" si="3"/>
        <v>10</v>
      </c>
      <c r="F89" t="str">
        <f t="shared" si="4"/>
        <v>INSERT INTO `departements`(`idDepartement`, `numeroDepartement`, `libelleDepartement`, `idRegion`) VALUES (88,"87","Haute-Vienne",10);</v>
      </c>
    </row>
    <row r="90" spans="1:6" x14ac:dyDescent="0.25">
      <c r="A90">
        <v>89</v>
      </c>
      <c r="B90">
        <v>88</v>
      </c>
      <c r="C90" t="s">
        <v>69</v>
      </c>
      <c r="D90" t="s">
        <v>87</v>
      </c>
      <c r="E90">
        <f t="shared" si="3"/>
        <v>6</v>
      </c>
      <c r="F90" t="str">
        <f t="shared" si="4"/>
        <v>INSERT INTO `departements`(`idDepartement`, `numeroDepartement`, `libelleDepartement`, `idRegion`) VALUES (89,"88","Vosges",6);</v>
      </c>
    </row>
    <row r="91" spans="1:6" x14ac:dyDescent="0.25">
      <c r="A91">
        <v>90</v>
      </c>
      <c r="B91">
        <v>89</v>
      </c>
      <c r="C91" t="s">
        <v>70</v>
      </c>
      <c r="D91" t="s">
        <v>96</v>
      </c>
      <c r="E91">
        <f t="shared" si="3"/>
        <v>2</v>
      </c>
      <c r="F91" t="str">
        <f t="shared" si="4"/>
        <v>INSERT INTO `departements`(`idDepartement`, `numeroDepartement`, `libelleDepartement`, `idRegion`) VALUES (90,"89","Yonne",2);</v>
      </c>
    </row>
    <row r="92" spans="1:6" x14ac:dyDescent="0.25">
      <c r="A92">
        <v>91</v>
      </c>
      <c r="B92">
        <v>90</v>
      </c>
      <c r="C92" t="s">
        <v>71</v>
      </c>
      <c r="D92" t="s">
        <v>96</v>
      </c>
      <c r="E92">
        <f t="shared" si="3"/>
        <v>2</v>
      </c>
      <c r="F92" t="str">
        <f t="shared" si="4"/>
        <v>INSERT INTO `departements`(`idDepartement`, `numeroDepartement`, `libelleDepartement`, `idRegion`) VALUES (91,"90","Territoire de Belfort",2);</v>
      </c>
    </row>
    <row r="93" spans="1:6" x14ac:dyDescent="0.25">
      <c r="A93">
        <v>92</v>
      </c>
      <c r="B93">
        <v>91</v>
      </c>
      <c r="C93" t="s">
        <v>72</v>
      </c>
      <c r="D93" t="s">
        <v>89</v>
      </c>
      <c r="E93">
        <f t="shared" si="3"/>
        <v>8</v>
      </c>
      <c r="F93" t="str">
        <f t="shared" si="4"/>
        <v>INSERT INTO `departements`(`idDepartement`, `numeroDepartement`, `libelleDepartement`, `idRegion`) VALUES (92,"91","Essonne",8);</v>
      </c>
    </row>
    <row r="94" spans="1:6" x14ac:dyDescent="0.25">
      <c r="A94">
        <v>93</v>
      </c>
      <c r="B94">
        <v>92</v>
      </c>
      <c r="C94" t="s">
        <v>73</v>
      </c>
      <c r="D94" t="s">
        <v>89</v>
      </c>
      <c r="E94">
        <f t="shared" si="3"/>
        <v>8</v>
      </c>
      <c r="F94" t="str">
        <f t="shared" si="4"/>
        <v>INSERT INTO `departements`(`idDepartement`, `numeroDepartement`, `libelleDepartement`, `idRegion`) VALUES (93,"92","Hauts-de-Seine",8);</v>
      </c>
    </row>
    <row r="95" spans="1:6" x14ac:dyDescent="0.25">
      <c r="A95">
        <v>94</v>
      </c>
      <c r="B95">
        <v>93</v>
      </c>
      <c r="C95" t="s">
        <v>74</v>
      </c>
      <c r="D95" t="s">
        <v>89</v>
      </c>
      <c r="E95">
        <f t="shared" si="3"/>
        <v>8</v>
      </c>
      <c r="F95" t="str">
        <f t="shared" si="4"/>
        <v>INSERT INTO `departements`(`idDepartement`, `numeroDepartement`, `libelleDepartement`, `idRegion`) VALUES (94,"93","Seine-Saint-Denis",8);</v>
      </c>
    </row>
    <row r="96" spans="1:6" x14ac:dyDescent="0.25">
      <c r="A96">
        <v>95</v>
      </c>
      <c r="B96">
        <v>94</v>
      </c>
      <c r="C96" t="s">
        <v>75</v>
      </c>
      <c r="D96" t="s">
        <v>89</v>
      </c>
      <c r="E96">
        <f t="shared" si="3"/>
        <v>8</v>
      </c>
      <c r="F96" t="str">
        <f t="shared" si="4"/>
        <v>INSERT INTO `departements`(`idDepartement`, `numeroDepartement`, `libelleDepartement`, `idRegion`) VALUES (95,"94","Val-de-Marne",8);</v>
      </c>
    </row>
    <row r="97" spans="1:6" x14ac:dyDescent="0.25">
      <c r="A97">
        <v>96</v>
      </c>
      <c r="B97">
        <v>95</v>
      </c>
      <c r="C97" t="s">
        <v>76</v>
      </c>
      <c r="D97" t="s">
        <v>89</v>
      </c>
      <c r="E97">
        <f t="shared" si="3"/>
        <v>8</v>
      </c>
      <c r="F97" t="str">
        <f t="shared" si="4"/>
        <v>INSERT INTO `departements`(`idDepartement`, `numeroDepartement`, `libelleDepartement`, `idRegion`) VALUES (96,"95","Val-d'Oise",8);</v>
      </c>
    </row>
    <row r="98" spans="1:6" x14ac:dyDescent="0.25">
      <c r="A98">
        <v>97</v>
      </c>
      <c r="B98">
        <v>971</v>
      </c>
      <c r="C98" t="s">
        <v>77</v>
      </c>
      <c r="D98" t="s">
        <v>94</v>
      </c>
      <c r="E98">
        <f t="shared" si="3"/>
        <v>14</v>
      </c>
      <c r="F98" t="str">
        <f t="shared" si="4"/>
        <v>INSERT INTO `departements`(`idDepartement`, `numeroDepartement`, `libelleDepartement`, `idRegion`) VALUES (97,"971","Guadeloupe",14);</v>
      </c>
    </row>
    <row r="99" spans="1:6" x14ac:dyDescent="0.25">
      <c r="A99">
        <v>98</v>
      </c>
      <c r="B99">
        <v>972</v>
      </c>
      <c r="C99" t="s">
        <v>78</v>
      </c>
      <c r="D99" t="s">
        <v>94</v>
      </c>
      <c r="E99">
        <f t="shared" si="3"/>
        <v>14</v>
      </c>
      <c r="F99" t="str">
        <f t="shared" si="4"/>
        <v>INSERT INTO `departements`(`idDepartement`, `numeroDepartement`, `libelleDepartement`, `idRegion`) VALUES (98,"972","Martinique",14);</v>
      </c>
    </row>
    <row r="100" spans="1:6" x14ac:dyDescent="0.25">
      <c r="A100">
        <v>99</v>
      </c>
      <c r="B100">
        <v>973</v>
      </c>
      <c r="C100" t="s">
        <v>79</v>
      </c>
      <c r="D100" t="s">
        <v>94</v>
      </c>
      <c r="E100">
        <f t="shared" si="3"/>
        <v>14</v>
      </c>
      <c r="F100" t="str">
        <f t="shared" si="4"/>
        <v>INSERT INTO `departements`(`idDepartement`, `numeroDepartement`, `libelleDepartement`, `idRegion`) VALUES (99,"973","Guyane",14);</v>
      </c>
    </row>
    <row r="101" spans="1:6" x14ac:dyDescent="0.25">
      <c r="A101">
        <v>100</v>
      </c>
      <c r="B101">
        <v>974</v>
      </c>
      <c r="C101" t="s">
        <v>119</v>
      </c>
      <c r="D101" t="s">
        <v>94</v>
      </c>
      <c r="E101">
        <f t="shared" si="3"/>
        <v>14</v>
      </c>
      <c r="F101" t="str">
        <f t="shared" si="4"/>
        <v>INSERT INTO `departements`(`idDepartement`, `numeroDepartement`, `libelleDepartement`, `idRegion`) VALUES (100,"974","La Réunion",14);</v>
      </c>
    </row>
    <row r="102" spans="1:6" x14ac:dyDescent="0.25">
      <c r="A102">
        <v>101</v>
      </c>
      <c r="B102">
        <v>975</v>
      </c>
      <c r="C102" t="s">
        <v>80</v>
      </c>
      <c r="D102" t="s">
        <v>94</v>
      </c>
      <c r="E102">
        <f t="shared" si="3"/>
        <v>14</v>
      </c>
      <c r="F102" t="str">
        <f t="shared" si="4"/>
        <v>INSERT INTO `departements`(`idDepartement`, `numeroDepartement`, `libelleDepartement`, `idRegion`) VALUES (101,"975","Saint-Pierre-et-Miquelon",14);</v>
      </c>
    </row>
    <row r="103" spans="1:6" x14ac:dyDescent="0.25">
      <c r="A103">
        <v>102</v>
      </c>
      <c r="B103">
        <v>977</v>
      </c>
      <c r="C103" t="s">
        <v>133</v>
      </c>
      <c r="D103" t="s">
        <v>94</v>
      </c>
      <c r="E103">
        <f t="shared" si="3"/>
        <v>14</v>
      </c>
      <c r="F103" t="str">
        <f t="shared" si="4"/>
        <v>INSERT INTO `departements`(`idDepartement`, `numeroDepartement`, `libelleDepartement`, `idRegion`) VALUES (102,"977","Saint-Barthélemy",14);</v>
      </c>
    </row>
    <row r="104" spans="1:6" x14ac:dyDescent="0.25">
      <c r="A104">
        <v>103</v>
      </c>
      <c r="B104">
        <v>978</v>
      </c>
      <c r="C104" t="s">
        <v>132</v>
      </c>
      <c r="D104" t="s">
        <v>94</v>
      </c>
      <c r="E104">
        <f t="shared" si="3"/>
        <v>14</v>
      </c>
      <c r="F104" t="str">
        <f t="shared" si="4"/>
        <v>INSERT INTO `departements`(`idDepartement`, `numeroDepartement`, `libelleDepartement`, `idRegion`) VALUES (103,"978","Saint-Martin",14);</v>
      </c>
    </row>
    <row r="105" spans="1:6" x14ac:dyDescent="0.25">
      <c r="A105">
        <v>104</v>
      </c>
      <c r="B105">
        <v>984</v>
      </c>
      <c r="C105" t="s">
        <v>121</v>
      </c>
      <c r="D105" t="s">
        <v>94</v>
      </c>
      <c r="E105">
        <f t="shared" si="3"/>
        <v>14</v>
      </c>
      <c r="F105" t="str">
        <f t="shared" si="4"/>
        <v>INSERT INTO `departements`(`idDepartement`, `numeroDepartement`, `libelleDepartement`, `idRegion`) VALUES (104,"984","Terres australes et antarctiques françaises",14);</v>
      </c>
    </row>
    <row r="106" spans="1:6" x14ac:dyDescent="0.25">
      <c r="A106">
        <v>105</v>
      </c>
      <c r="B106">
        <v>986</v>
      </c>
      <c r="C106" t="s">
        <v>82</v>
      </c>
      <c r="D106" t="s">
        <v>94</v>
      </c>
      <c r="E106">
        <f t="shared" si="3"/>
        <v>14</v>
      </c>
      <c r="F106" t="str">
        <f t="shared" si="4"/>
        <v>INSERT INTO `departements`(`idDepartement`, `numeroDepartement`, `libelleDepartement`, `idRegion`) VALUES (105,"986","Wallis-et-Futuna",14);</v>
      </c>
    </row>
    <row r="107" spans="1:6" x14ac:dyDescent="0.25">
      <c r="A107">
        <v>106</v>
      </c>
      <c r="B107">
        <v>987</v>
      </c>
      <c r="C107" t="s">
        <v>122</v>
      </c>
      <c r="D107" t="s">
        <v>94</v>
      </c>
      <c r="E107">
        <f t="shared" si="3"/>
        <v>14</v>
      </c>
      <c r="F107" t="str">
        <f t="shared" si="4"/>
        <v>INSERT INTO `departements`(`idDepartement`, `numeroDepartement`, `libelleDepartement`, `idRegion`) VALUES (106,"987","Polynésie française",14);</v>
      </c>
    </row>
    <row r="108" spans="1:6" x14ac:dyDescent="0.25">
      <c r="A108">
        <v>107</v>
      </c>
      <c r="B108">
        <v>988</v>
      </c>
      <c r="C108" t="s">
        <v>120</v>
      </c>
      <c r="D108" t="s">
        <v>94</v>
      </c>
      <c r="E108">
        <f t="shared" si="3"/>
        <v>14</v>
      </c>
      <c r="F108" t="str">
        <f t="shared" si="4"/>
        <v>INSERT INTO `departements`(`idDepartement`, `numeroDepartement`, `libelleDepartement`, `idRegion`) VALUES (107,"988","Nouvelle-Calédonie",14);</v>
      </c>
    </row>
    <row r="109" spans="1:6" x14ac:dyDescent="0.25">
      <c r="A109">
        <v>108</v>
      </c>
      <c r="B109">
        <v>989</v>
      </c>
      <c r="C109" t="s">
        <v>83</v>
      </c>
      <c r="D109" t="s">
        <v>94</v>
      </c>
      <c r="E109">
        <f t="shared" si="3"/>
        <v>14</v>
      </c>
      <c r="F109" t="str">
        <f t="shared" si="4"/>
        <v>INSERT INTO `departements`(`idDepartement`, `numeroDepartement`, `libelleDepartement`, `idRegion`) VALUES (108,"989","Clipperton",14);</v>
      </c>
    </row>
    <row r="110" spans="1:6" x14ac:dyDescent="0.25">
      <c r="A110">
        <v>109</v>
      </c>
      <c r="B110">
        <v>976</v>
      </c>
      <c r="C110" t="s">
        <v>81</v>
      </c>
      <c r="E110" t="e">
        <f>VLOOKUP(D110,$I$2:$K$15,3,0)</f>
        <v>#N/A</v>
      </c>
      <c r="F110" t="e">
        <f t="shared" si="4"/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Poix Martine</dc:creator>
  <cp:lastModifiedBy>59011-15-11</cp:lastModifiedBy>
  <dcterms:created xsi:type="dcterms:W3CDTF">2020-10-19T14:46:14Z</dcterms:created>
  <dcterms:modified xsi:type="dcterms:W3CDTF">2021-04-14T12:52:57Z</dcterms:modified>
</cp:coreProperties>
</file>