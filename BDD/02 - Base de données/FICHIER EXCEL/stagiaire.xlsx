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59011-15-11\Kesary_DWWM\BDD\02 - Base de données\FICHIER EXCEL\"/>
    </mc:Choice>
  </mc:AlternateContent>
  <bookViews>
    <workbookView xWindow="0" yWindow="0" windowWidth="28800" windowHeight="12300"/>
  </bookViews>
  <sheets>
    <sheet name="stagiaireafpa" sheetId="1" r:id="rId1"/>
  </sheets>
  <calcPr calcId="162913"/>
</workbook>
</file>

<file path=xl/calcChain.xml><?xml version="1.0" encoding="utf-8"?>
<calcChain xmlns="http://schemas.openxmlformats.org/spreadsheetml/2006/main">
  <c r="K50" i="1" l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49" i="1"/>
  <c r="D71" i="1"/>
  <c r="C71" i="1"/>
  <c r="B71" i="1"/>
  <c r="D70" i="1"/>
  <c r="C70" i="1"/>
  <c r="B70" i="1"/>
  <c r="D69" i="1"/>
  <c r="C69" i="1"/>
  <c r="B69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72" i="1"/>
  <c r="C72" i="1"/>
  <c r="B7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" i="1"/>
  <c r="Z3" i="1"/>
  <c r="Z4" i="1"/>
  <c r="Z5" i="1"/>
  <c r="Z6" i="1"/>
  <c r="Z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E36" i="1" l="1"/>
  <c r="E37" i="1"/>
  <c r="E38" i="1"/>
  <c r="E39" i="1"/>
  <c r="E40" i="1"/>
  <c r="E41" i="1"/>
  <c r="E35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" i="1"/>
  <c r="P2" i="1" l="1"/>
  <c r="AA20" i="1"/>
  <c r="AA21" i="1"/>
  <c r="AA19" i="1"/>
  <c r="AA38" i="1"/>
  <c r="AA37" i="1" l="1"/>
  <c r="AB29" i="1"/>
  <c r="AB30" i="1"/>
  <c r="AB31" i="1"/>
  <c r="AB28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</calcChain>
</file>

<file path=xl/sharedStrings.xml><?xml version="1.0" encoding="utf-8"?>
<sst xmlns="http://schemas.openxmlformats.org/spreadsheetml/2006/main" count="271" uniqueCount="129">
  <si>
    <t>adresse</t>
  </si>
  <si>
    <t>ville</t>
  </si>
  <si>
    <t>codepostal</t>
  </si>
  <si>
    <t>telephone</t>
  </si>
  <si>
    <t>dateEntree</t>
  </si>
  <si>
    <t>sexe</t>
  </si>
  <si>
    <t>dateNaissance</t>
  </si>
  <si>
    <t>roblin</t>
  </si>
  <si>
    <t>lea</t>
  </si>
  <si>
    <t>12,bd de la liberte</t>
  </si>
  <si>
    <t>calais</t>
  </si>
  <si>
    <t>F</t>
  </si>
  <si>
    <t>macarthur</t>
  </si>
  <si>
    <t>leon</t>
  </si>
  <si>
    <t>121,bd gambetta</t>
  </si>
  <si>
    <t>21-30-65-09</t>
  </si>
  <si>
    <t>M</t>
  </si>
  <si>
    <t>minol</t>
  </si>
  <si>
    <t>luc</t>
  </si>
  <si>
    <t>9,rue des prairies</t>
  </si>
  <si>
    <t>boulogne</t>
  </si>
  <si>
    <t>21-30-20-10</t>
  </si>
  <si>
    <t>sophie</t>
  </si>
  <si>
    <t>12,rue des capucines</t>
  </si>
  <si>
    <t>wimereux</t>
  </si>
  <si>
    <t>21-89-04-30</t>
  </si>
  <si>
    <t>marc</t>
  </si>
  <si>
    <t>67,allee ronde</t>
  </si>
  <si>
    <t>marcq</t>
  </si>
  <si>
    <t>21-90-87-65</t>
  </si>
  <si>
    <t>vendraux</t>
  </si>
  <si>
    <t>5,rue de marseille</t>
  </si>
  <si>
    <t>21-96-00-09</t>
  </si>
  <si>
    <t>vendermaele</t>
  </si>
  <si>
    <t>helene</t>
  </si>
  <si>
    <t>456,rue de paris</t>
  </si>
  <si>
    <t>21-45-45-60</t>
  </si>
  <si>
    <t>besson</t>
  </si>
  <si>
    <t>loic</t>
  </si>
  <si>
    <t>3,allee carpentier</t>
  </si>
  <si>
    <t>dunkerque</t>
  </si>
  <si>
    <t>28-90-89-78</t>
  </si>
  <si>
    <t>godart</t>
  </si>
  <si>
    <t>jean-paul</t>
  </si>
  <si>
    <t>123,rue de lens</t>
  </si>
  <si>
    <t>marck</t>
  </si>
  <si>
    <t>28-09-87-65</t>
  </si>
  <si>
    <t>beaux</t>
  </si>
  <si>
    <t>marie</t>
  </si>
  <si>
    <t>1,allee des cygnes</t>
  </si>
  <si>
    <t>21-30-87-90</t>
  </si>
  <si>
    <t>turini</t>
  </si>
  <si>
    <t>elsa</t>
  </si>
  <si>
    <t>12,route de paris</t>
  </si>
  <si>
    <t>21-32-47-97</t>
  </si>
  <si>
    <t>torelle</t>
  </si>
  <si>
    <t>elise</t>
  </si>
  <si>
    <t>123,vallee du denacre</t>
  </si>
  <si>
    <t>21-67-86-90</t>
  </si>
  <si>
    <t>pharis</t>
  </si>
  <si>
    <t>pierre</t>
  </si>
  <si>
    <t>12,avenue foch</t>
  </si>
  <si>
    <t>21-21-85-90</t>
  </si>
  <si>
    <t>ephyre</t>
  </si>
  <si>
    <t>12,rue de lyon</t>
  </si>
  <si>
    <t>21-35-32-90</t>
  </si>
  <si>
    <t>leclercq</t>
  </si>
  <si>
    <t>jules</t>
  </si>
  <si>
    <t>12,allee des ravins</t>
  </si>
  <si>
    <t>21-36-71-92</t>
  </si>
  <si>
    <t>dupont</t>
  </si>
  <si>
    <t>21,avenue monsigny</t>
  </si>
  <si>
    <t>21-21-34-99</t>
  </si>
  <si>
    <t>marke</t>
  </si>
  <si>
    <t>312,route de paris</t>
  </si>
  <si>
    <t>21-87-87-71</t>
  </si>
  <si>
    <t>dewa</t>
  </si>
  <si>
    <t>121,allee des eglantines</t>
  </si>
  <si>
    <t>28-30-87-90</t>
  </si>
  <si>
    <t>TSAII</t>
  </si>
  <si>
    <t>TRTE</t>
  </si>
  <si>
    <t>DWWM</t>
  </si>
  <si>
    <t>Informatique</t>
  </si>
  <si>
    <t>Automatisme</t>
  </si>
  <si>
    <t>Reseau</t>
  </si>
  <si>
    <t>AFPA</t>
  </si>
  <si>
    <t>AUTRE</t>
  </si>
  <si>
    <t>CDA</t>
  </si>
  <si>
    <t>TSSR</t>
  </si>
  <si>
    <t>Martine</t>
  </si>
  <si>
    <t>nomStagiaire</t>
  </si>
  <si>
    <t>prenomStagiaire</t>
  </si>
  <si>
    <t>Formation</t>
  </si>
  <si>
    <t>Formateur</t>
  </si>
  <si>
    <t>Hervé</t>
  </si>
  <si>
    <t>Poix</t>
  </si>
  <si>
    <t>Dubois</t>
  </si>
  <si>
    <t>Thomas</t>
  </si>
  <si>
    <t>Butterdroghe</t>
  </si>
  <si>
    <t>Batzic</t>
  </si>
  <si>
    <t>Jean Paul</t>
  </si>
  <si>
    <t>Groupe</t>
  </si>
  <si>
    <t>Hébergement</t>
  </si>
  <si>
    <t>Hebergement</t>
  </si>
  <si>
    <t>idStagaire</t>
  </si>
  <si>
    <t>idFormation</t>
  </si>
  <si>
    <t>idGroupe</t>
  </si>
  <si>
    <t>idHebergement</t>
  </si>
  <si>
    <t>idFormateur</t>
  </si>
  <si>
    <t>nomFormateur</t>
  </si>
  <si>
    <t>prenomFormateur</t>
  </si>
  <si>
    <t>INSERT INTO `formateur`(`idFormateur`, `nomFormateur`, `prenomFormateur`) VALUES ([value-1],[value-2],[value-3])</t>
  </si>
  <si>
    <t>INSERT INTO `hebergement`(`idHebergement`, `nomHebergement`) VALUES ([value-1],[value-2])</t>
  </si>
  <si>
    <t>INSERT INTO `groupe`(`idGroupe`, `nomGroupe`) VALUES ([value-1],[value-2])</t>
  </si>
  <si>
    <t>Matieres</t>
  </si>
  <si>
    <t>idMatiere</t>
  </si>
  <si>
    <t>Algorithme</t>
  </si>
  <si>
    <t>Anglais</t>
  </si>
  <si>
    <t>Java</t>
  </si>
  <si>
    <t>PHP</t>
  </si>
  <si>
    <t>JavaScript</t>
  </si>
  <si>
    <t>HTML&amp;CSS</t>
  </si>
  <si>
    <t>MySql</t>
  </si>
  <si>
    <t>INSERT INTO `matieres`(`idMatiere`, `nomMatiere`) VALUES ([value-1],[value-2])</t>
  </si>
  <si>
    <t>dateEntreeOK</t>
  </si>
  <si>
    <t>dateNaissanceOK</t>
  </si>
  <si>
    <t>idSuivre</t>
  </si>
  <si>
    <t>idStagiaire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</si>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</sst>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0" borderId="0" xfId="0" applyFont="1"/>
    <xf numFmtId="0" fontId="0" fillId="0" borderId="12" xfId="0" applyBorder="1"/>
    <xf numFmtId="14" fontId="0" fillId="0" borderId="12" xfId="0" applyNumberFormat="1" applyBorder="1"/>
    <xf numFmtId="0" fontId="16" fillId="0" borderId="13" xfId="0" applyFont="1" applyBorder="1"/>
    <xf numFmtId="0" fontId="16" fillId="0" borderId="14" xfId="0" applyFont="1" applyBorder="1"/>
    <xf numFmtId="0" fontId="0" fillId="33" borderId="10" xfId="0" applyFill="1" applyBorder="1"/>
    <xf numFmtId="0" fontId="16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18" xfId="0" applyFont="1" applyBorder="1"/>
    <xf numFmtId="0" fontId="16" fillId="0" borderId="19" xfId="0" applyFont="1" applyBorder="1"/>
    <xf numFmtId="0" fontId="0" fillId="0" borderId="20" xfId="0" applyBorder="1"/>
    <xf numFmtId="0" fontId="0" fillId="0" borderId="21" xfId="0" applyBorder="1"/>
    <xf numFmtId="0" fontId="16" fillId="0" borderId="22" xfId="0" applyFont="1" applyBorder="1"/>
    <xf numFmtId="0" fontId="16" fillId="0" borderId="23" xfId="0" applyFont="1" applyBorder="1"/>
    <xf numFmtId="0" fontId="16" fillId="33" borderId="18" xfId="0" applyFont="1" applyFill="1" applyBorder="1"/>
    <xf numFmtId="0" fontId="16" fillId="34" borderId="10" xfId="0" applyFont="1" applyFill="1" applyBorder="1"/>
    <xf numFmtId="0" fontId="16" fillId="35" borderId="10" xfId="0" applyFont="1" applyFill="1" applyBorder="1"/>
    <xf numFmtId="0" fontId="0" fillId="0" borderId="24" xfId="0" applyBorder="1"/>
    <xf numFmtId="0" fontId="0" fillId="0" borderId="25" xfId="0" applyBorder="1"/>
    <xf numFmtId="0" fontId="16" fillId="36" borderId="10" xfId="0" applyFont="1" applyFill="1" applyBorder="1"/>
    <xf numFmtId="0" fontId="0" fillId="36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3" borderId="12" xfId="0" applyFill="1" applyBorder="1"/>
    <xf numFmtId="0" fontId="16" fillId="0" borderId="12" xfId="0" applyFont="1" applyBorder="1"/>
    <xf numFmtId="0" fontId="0" fillId="0" borderId="26" xfId="0" applyBorder="1"/>
    <xf numFmtId="0" fontId="0" fillId="34" borderId="27" xfId="0" applyFill="1" applyBorder="1"/>
    <xf numFmtId="0" fontId="0" fillId="0" borderId="28" xfId="0" applyBorder="1"/>
    <xf numFmtId="0" fontId="0" fillId="34" borderId="29" xfId="0" applyFill="1" applyBorder="1"/>
    <xf numFmtId="0" fontId="16" fillId="34" borderId="11" xfId="0" applyFont="1" applyFill="1" applyBorder="1"/>
    <xf numFmtId="0" fontId="16" fillId="0" borderId="10" xfId="0" applyFont="1" applyBorder="1"/>
    <xf numFmtId="0" fontId="16" fillId="0" borderId="21" xfId="0" applyFont="1" applyBorder="1"/>
    <xf numFmtId="0" fontId="16" fillId="0" borderId="30" xfId="0" applyFont="1" applyBorder="1"/>
    <xf numFmtId="0" fontId="0" fillId="0" borderId="0" xfId="0" applyBorder="1"/>
    <xf numFmtId="0" fontId="16" fillId="0" borderId="31" xfId="0" applyFont="1" applyBorder="1"/>
    <xf numFmtId="0" fontId="0" fillId="0" borderId="32" xfId="0" applyBorder="1"/>
    <xf numFmtId="0" fontId="0" fillId="0" borderId="33" xfId="0" applyBorder="1"/>
    <xf numFmtId="0" fontId="16" fillId="0" borderId="0" xfId="0" applyFont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2"/>
  <sheetViews>
    <sheetView tabSelected="1" topLeftCell="S1" workbookViewId="0">
      <selection activeCell="K49" sqref="K49:K70"/>
    </sheetView>
  </sheetViews>
  <sheetFormatPr baseColWidth="10" defaultRowHeight="15" x14ac:dyDescent="0.25"/>
  <cols>
    <col min="2" max="2" width="12.85546875" bestFit="1" customWidth="1"/>
    <col min="3" max="3" width="15.7109375" bestFit="1" customWidth="1"/>
    <col min="4" max="4" width="22.5703125" bestFit="1" customWidth="1"/>
    <col min="5" max="5" width="14.7109375" customWidth="1"/>
    <col min="6" max="6" width="12.85546875" customWidth="1"/>
    <col min="7" max="7" width="17.28515625" customWidth="1"/>
    <col min="8" max="8" width="13" customWidth="1"/>
    <col min="9" max="9" width="25.42578125" customWidth="1"/>
    <col min="10" max="10" width="9" customWidth="1"/>
    <col min="11" max="11" width="13.85546875" bestFit="1" customWidth="1"/>
    <col min="12" max="12" width="19.42578125" customWidth="1"/>
    <col min="13" max="13" width="11.85546875" customWidth="1"/>
    <col min="14" max="14" width="13.140625" customWidth="1"/>
    <col min="15" max="15" width="13.28515625" bestFit="1" customWidth="1"/>
    <col min="16" max="16" width="13.28515625" customWidth="1"/>
    <col min="17" max="19" width="14.7109375" customWidth="1"/>
    <col min="20" max="20" width="39.42578125" customWidth="1"/>
    <col min="21" max="21" width="10.140625" bestFit="1" customWidth="1"/>
    <col min="22" max="22" width="14.85546875" customWidth="1"/>
    <col min="23" max="23" width="14.28515625" customWidth="1"/>
    <col min="24" max="24" width="15.85546875" customWidth="1"/>
    <col min="25" max="25" width="23.5703125" customWidth="1"/>
    <col min="26" max="26" width="20.28515625" customWidth="1"/>
    <col min="27" max="27" width="25.140625" customWidth="1"/>
    <col min="28" max="28" width="23.28515625" customWidth="1"/>
    <col min="29" max="29" width="14.42578125" customWidth="1"/>
    <col min="30" max="30" width="12.85546875" bestFit="1" customWidth="1"/>
    <col min="31" max="31" width="20.85546875" customWidth="1"/>
  </cols>
  <sheetData>
    <row r="1" spans="1:32" s="3" customFormat="1" ht="15.75" thickBot="1" x14ac:dyDescent="0.3">
      <c r="A1" s="14" t="s">
        <v>104</v>
      </c>
      <c r="B1" s="9" t="s">
        <v>90</v>
      </c>
      <c r="C1" s="6" t="s">
        <v>91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124</v>
      </c>
      <c r="J1" s="6" t="s">
        <v>5</v>
      </c>
      <c r="K1" s="6" t="s">
        <v>6</v>
      </c>
      <c r="L1" s="6" t="s">
        <v>125</v>
      </c>
      <c r="M1" s="6" t="s">
        <v>92</v>
      </c>
      <c r="N1" s="6" t="s">
        <v>93</v>
      </c>
      <c r="O1" s="15" t="s">
        <v>102</v>
      </c>
      <c r="P1" s="14" t="s">
        <v>105</v>
      </c>
      <c r="Q1" s="14" t="s">
        <v>107</v>
      </c>
      <c r="R1" s="14" t="s">
        <v>108</v>
      </c>
      <c r="S1" s="40"/>
      <c r="T1" s="38"/>
      <c r="U1" s="38" t="s">
        <v>92</v>
      </c>
      <c r="V1" s="20" t="s">
        <v>105</v>
      </c>
      <c r="W1" s="15" t="s">
        <v>101</v>
      </c>
      <c r="X1" s="22" t="s">
        <v>106</v>
      </c>
      <c r="Y1" s="18" t="s">
        <v>101</v>
      </c>
      <c r="Z1" s="43"/>
      <c r="AA1" s="36" t="s">
        <v>103</v>
      </c>
      <c r="AB1" s="21" t="s">
        <v>107</v>
      </c>
      <c r="AD1" s="14" t="s">
        <v>93</v>
      </c>
      <c r="AE1" s="7" t="s">
        <v>109</v>
      </c>
      <c r="AF1" s="25" t="s">
        <v>108</v>
      </c>
    </row>
    <row r="2" spans="1:32" x14ac:dyDescent="0.25">
      <c r="A2" s="13">
        <v>1</v>
      </c>
      <c r="B2" s="10" t="s">
        <v>7</v>
      </c>
      <c r="C2" s="4" t="s">
        <v>8</v>
      </c>
      <c r="D2" s="4" t="s">
        <v>9</v>
      </c>
      <c r="E2" s="4" t="s">
        <v>10</v>
      </c>
      <c r="F2" s="4">
        <v>62100</v>
      </c>
      <c r="G2" s="4">
        <v>21345678</v>
      </c>
      <c r="H2" s="5">
        <v>41883</v>
      </c>
      <c r="I2" s="5" t="str">
        <f>TEXT(H2,"aaaa-mm-jj")</f>
        <v>2014-09-01</v>
      </c>
      <c r="J2" s="4" t="s">
        <v>11</v>
      </c>
      <c r="K2" s="5">
        <v>34713</v>
      </c>
      <c r="L2" s="5" t="str">
        <f>TEXT(K2,"aaaa-mm-jj")</f>
        <v>1995-01-14</v>
      </c>
      <c r="M2" s="4" t="s">
        <v>88</v>
      </c>
      <c r="N2" s="4" t="s">
        <v>97</v>
      </c>
      <c r="O2" s="16" t="s">
        <v>86</v>
      </c>
      <c r="P2" s="30">
        <f t="shared" ref="P2:P19" si="0">VLOOKUP(M2,$U$2:$V$6,2,0)</f>
        <v>5</v>
      </c>
      <c r="Q2" s="4">
        <f>VLOOKUP(O2,$AA$2:$AB$3,2,0)</f>
        <v>2</v>
      </c>
      <c r="R2" s="4">
        <f>VLOOKUP(N2,$AE$2:$AF$5,2,0)</f>
        <v>2</v>
      </c>
      <c r="S2" s="1" t="str">
        <f>"INSERT INTO Stagiaire values("&amp;A2&amp;","""&amp;B2&amp;""","""&amp;C2&amp;""","""&amp;D2&amp;""","""&amp;G2&amp;""","""&amp;J2&amp;""","""&amp;L2&amp;""","""&amp;I2&amp;""","&amp;Q2&amp;","&amp;P2&amp;","&amp;R2&amp;");"</f>
        <v>INSERT INTO Stagiaire values(1,"roblin","lea","12,bd de la liberte","21345678","F","1995-01-14","2014-09-01",2,5,2);</v>
      </c>
      <c r="T2" s="10"/>
      <c r="U2" s="10" t="s">
        <v>79</v>
      </c>
      <c r="V2" s="29">
        <v>1</v>
      </c>
      <c r="W2" s="16" t="s">
        <v>83</v>
      </c>
      <c r="X2" s="28">
        <v>2</v>
      </c>
      <c r="Y2" s="23" t="s">
        <v>82</v>
      </c>
      <c r="Z2" s="23" t="str">
        <f>"INSERT INTO `formation`(`idFormation`, `nomFormation`, `idGroupe`) VALUES ("&amp;V2&amp;","""&amp;U2&amp;""","&amp;X2&amp;");"</f>
        <v>INSERT INTO `formation`(`idFormation`, `nomFormation`, `idGroupe`) VALUES (1,"TSAII",2);</v>
      </c>
      <c r="AA2" s="1" t="s">
        <v>85</v>
      </c>
      <c r="AB2" s="27">
        <v>1</v>
      </c>
      <c r="AD2" s="4" t="s">
        <v>95</v>
      </c>
      <c r="AE2" s="4" t="s">
        <v>89</v>
      </c>
      <c r="AF2" s="26">
        <v>1</v>
      </c>
    </row>
    <row r="3" spans="1:32" x14ac:dyDescent="0.25">
      <c r="A3" s="12">
        <v>2</v>
      </c>
      <c r="B3" s="11" t="s">
        <v>12</v>
      </c>
      <c r="C3" s="1" t="s">
        <v>13</v>
      </c>
      <c r="D3" s="1" t="s">
        <v>14</v>
      </c>
      <c r="E3" s="1" t="s">
        <v>10</v>
      </c>
      <c r="F3" s="1">
        <v>62100</v>
      </c>
      <c r="G3" s="1" t="s">
        <v>15</v>
      </c>
      <c r="H3" s="2">
        <v>41883</v>
      </c>
      <c r="I3" s="5" t="str">
        <f t="shared" ref="I3:I19" si="1">TEXT(H3,"aaaa-mm-jj")</f>
        <v>2014-09-01</v>
      </c>
      <c r="J3" s="1" t="s">
        <v>16</v>
      </c>
      <c r="K3" s="2">
        <v>34436</v>
      </c>
      <c r="L3" s="5" t="str">
        <f t="shared" ref="L3:L19" si="2">TEXT(K3,"aaaa-mm-jj")</f>
        <v>1994-04-12</v>
      </c>
      <c r="M3" s="1" t="s">
        <v>81</v>
      </c>
      <c r="N3" s="1" t="s">
        <v>89</v>
      </c>
      <c r="O3" s="17" t="s">
        <v>86</v>
      </c>
      <c r="P3" s="30">
        <f t="shared" si="0"/>
        <v>3</v>
      </c>
      <c r="Q3" s="4">
        <f t="shared" ref="Q3:Q19" si="3">VLOOKUP(O3,$AA$2:$AB$3,2,0)</f>
        <v>2</v>
      </c>
      <c r="R3" s="4">
        <f t="shared" ref="R3:R19" si="4">VLOOKUP(N3,$AE$2:$AF$5,2,0)</f>
        <v>1</v>
      </c>
      <c r="S3" s="1" t="str">
        <f t="shared" ref="S3:S19" si="5">"INSERT INTO Stagiaire values("&amp;A3&amp;","""&amp;B3&amp;""","""&amp;C3&amp;""","""&amp;D3&amp;""","""&amp;G3&amp;""","""&amp;J3&amp;""","""&amp;L3&amp;""","""&amp;I3&amp;""","&amp;Q3&amp;","&amp;P3&amp;","&amp;R3&amp;");"</f>
        <v>INSERT INTO Stagiaire values(2,"macarthur","leon","121,bd gambetta","21-30-65-09","M","1994-04-12","2014-09-01",2,3,1);</v>
      </c>
      <c r="T3" s="10"/>
      <c r="U3" s="11" t="s">
        <v>80</v>
      </c>
      <c r="V3" s="29">
        <v>2</v>
      </c>
      <c r="W3" s="17" t="s">
        <v>84</v>
      </c>
      <c r="X3" s="28">
        <v>3</v>
      </c>
      <c r="Y3" s="24" t="s">
        <v>83</v>
      </c>
      <c r="Z3" s="23" t="str">
        <f t="shared" ref="Z3:Z6" si="6">"INSERT INTO `formation`(`idFormation`, `nomFormation`, `idGroupe`) VALUES ("&amp;V3&amp;","""&amp;U3&amp;""","&amp;X3&amp;");"</f>
        <v>INSERT INTO `formation`(`idFormation`, `nomFormation`, `idGroupe`) VALUES (2,"TRTE",3);</v>
      </c>
      <c r="AA3" s="1" t="s">
        <v>86</v>
      </c>
      <c r="AB3" s="27">
        <v>2</v>
      </c>
      <c r="AD3" s="1" t="s">
        <v>96</v>
      </c>
      <c r="AE3" s="1" t="s">
        <v>97</v>
      </c>
      <c r="AF3" s="26">
        <v>2</v>
      </c>
    </row>
    <row r="4" spans="1:32" x14ac:dyDescent="0.25">
      <c r="A4" s="12">
        <v>3</v>
      </c>
      <c r="B4" s="11" t="s">
        <v>17</v>
      </c>
      <c r="C4" s="1" t="s">
        <v>18</v>
      </c>
      <c r="D4" s="1" t="s">
        <v>19</v>
      </c>
      <c r="E4" s="1" t="s">
        <v>20</v>
      </c>
      <c r="F4" s="1">
        <v>62200</v>
      </c>
      <c r="G4" s="1" t="s">
        <v>21</v>
      </c>
      <c r="H4" s="2">
        <v>41883</v>
      </c>
      <c r="I4" s="5" t="str">
        <f t="shared" si="1"/>
        <v>2014-09-01</v>
      </c>
      <c r="J4" s="1" t="s">
        <v>16</v>
      </c>
      <c r="K4" s="2">
        <v>35501</v>
      </c>
      <c r="L4" s="5" t="str">
        <f t="shared" si="2"/>
        <v>1997-03-12</v>
      </c>
      <c r="M4" s="1" t="s">
        <v>80</v>
      </c>
      <c r="N4" s="1" t="s">
        <v>97</v>
      </c>
      <c r="O4" s="17" t="s">
        <v>86</v>
      </c>
      <c r="P4" s="30">
        <f t="shared" si="0"/>
        <v>2</v>
      </c>
      <c r="Q4" s="4">
        <f t="shared" si="3"/>
        <v>2</v>
      </c>
      <c r="R4" s="4">
        <f t="shared" si="4"/>
        <v>2</v>
      </c>
      <c r="S4" s="1" t="str">
        <f t="shared" si="5"/>
        <v>INSERT INTO Stagiaire values(3,"minol","luc","9,rue des prairies","21-30-20-10","M","1997-03-12","2014-09-01",2,2,2);</v>
      </c>
      <c r="T4" s="10"/>
      <c r="U4" s="11" t="s">
        <v>81</v>
      </c>
      <c r="V4" s="29">
        <v>3</v>
      </c>
      <c r="W4" s="17" t="s">
        <v>82</v>
      </c>
      <c r="X4" s="28">
        <v>1</v>
      </c>
      <c r="Y4" s="11" t="s">
        <v>84</v>
      </c>
      <c r="Z4" s="23" t="str">
        <f t="shared" si="6"/>
        <v>INSERT INTO `formation`(`idFormation`, `nomFormation`, `idGroupe`) VALUES (3,"DWWM",1);</v>
      </c>
      <c r="AD4" s="1" t="s">
        <v>98</v>
      </c>
      <c r="AE4" s="1" t="s">
        <v>94</v>
      </c>
      <c r="AF4" s="26">
        <v>3</v>
      </c>
    </row>
    <row r="5" spans="1:32" x14ac:dyDescent="0.25">
      <c r="A5" s="12">
        <v>4</v>
      </c>
      <c r="B5" s="11" t="s">
        <v>17</v>
      </c>
      <c r="C5" s="1" t="s">
        <v>22</v>
      </c>
      <c r="D5" s="1" t="s">
        <v>23</v>
      </c>
      <c r="E5" s="1" t="s">
        <v>24</v>
      </c>
      <c r="F5" s="1">
        <v>62930</v>
      </c>
      <c r="G5" s="1" t="s">
        <v>25</v>
      </c>
      <c r="H5" s="2">
        <v>41883</v>
      </c>
      <c r="I5" s="5" t="str">
        <f t="shared" si="1"/>
        <v>2014-09-01</v>
      </c>
      <c r="J5" s="1" t="s">
        <v>11</v>
      </c>
      <c r="K5" s="2">
        <v>35145</v>
      </c>
      <c r="L5" s="5" t="str">
        <f t="shared" si="2"/>
        <v>1996-03-21</v>
      </c>
      <c r="M5" s="8" t="s">
        <v>88</v>
      </c>
      <c r="N5" s="8" t="s">
        <v>100</v>
      </c>
      <c r="O5" s="17" t="s">
        <v>86</v>
      </c>
      <c r="P5" s="30">
        <f t="shared" si="0"/>
        <v>5</v>
      </c>
      <c r="Q5" s="4">
        <f t="shared" si="3"/>
        <v>2</v>
      </c>
      <c r="R5" s="4">
        <f t="shared" si="4"/>
        <v>4</v>
      </c>
      <c r="S5" s="1" t="str">
        <f t="shared" si="5"/>
        <v>INSERT INTO Stagiaire values(4,"minol","sophie","12,rue des capucines","21-89-04-30","F","1996-03-21","2014-09-01",2,5,4);</v>
      </c>
      <c r="T5" s="10"/>
      <c r="U5" s="11" t="s">
        <v>87</v>
      </c>
      <c r="V5" s="29">
        <v>4</v>
      </c>
      <c r="W5" s="1" t="s">
        <v>82</v>
      </c>
      <c r="X5" s="28">
        <v>1</v>
      </c>
      <c r="Z5" s="23" t="str">
        <f t="shared" si="6"/>
        <v>INSERT INTO `formation`(`idFormation`, `nomFormation`, `idGroupe`) VALUES (4,"CDA",1);</v>
      </c>
      <c r="AD5" s="1" t="s">
        <v>99</v>
      </c>
      <c r="AE5" s="1" t="s">
        <v>100</v>
      </c>
      <c r="AF5" s="26">
        <v>4</v>
      </c>
    </row>
    <row r="6" spans="1:32" x14ac:dyDescent="0.25">
      <c r="A6" s="12">
        <v>5</v>
      </c>
      <c r="B6" s="11" t="s">
        <v>17</v>
      </c>
      <c r="C6" s="1" t="s">
        <v>26</v>
      </c>
      <c r="D6" s="1" t="s">
        <v>27</v>
      </c>
      <c r="E6" s="1" t="s">
        <v>28</v>
      </c>
      <c r="F6" s="1">
        <v>62300</v>
      </c>
      <c r="G6" s="1" t="s">
        <v>29</v>
      </c>
      <c r="H6" s="2">
        <v>41883</v>
      </c>
      <c r="I6" s="5" t="str">
        <f t="shared" si="1"/>
        <v>2014-09-01</v>
      </c>
      <c r="J6" s="1" t="s">
        <v>16</v>
      </c>
      <c r="K6" s="2">
        <v>34005</v>
      </c>
      <c r="L6" s="5" t="str">
        <f t="shared" si="2"/>
        <v>1993-02-05</v>
      </c>
      <c r="M6" s="1" t="s">
        <v>81</v>
      </c>
      <c r="N6" s="1" t="s">
        <v>89</v>
      </c>
      <c r="O6" s="17" t="s">
        <v>86</v>
      </c>
      <c r="P6" s="30">
        <f t="shared" si="0"/>
        <v>3</v>
      </c>
      <c r="Q6" s="4">
        <f t="shared" si="3"/>
        <v>2</v>
      </c>
      <c r="R6" s="4">
        <f t="shared" si="4"/>
        <v>1</v>
      </c>
      <c r="S6" s="1" t="str">
        <f t="shared" si="5"/>
        <v>INSERT INTO Stagiaire values(5,"minol","marc","67,allee ronde","21-90-87-65","M","1993-02-05","2014-09-01",2,3,1);</v>
      </c>
      <c r="T6" s="10"/>
      <c r="U6" s="11" t="s">
        <v>88</v>
      </c>
      <c r="V6" s="29">
        <v>5</v>
      </c>
      <c r="W6" s="1" t="s">
        <v>84</v>
      </c>
      <c r="X6" s="28">
        <v>3</v>
      </c>
      <c r="Z6" s="23" t="str">
        <f t="shared" si="6"/>
        <v>INSERT INTO `formation`(`idFormation`, `nomFormation`, `idGroupe`) VALUES (5,"TSSR",3);</v>
      </c>
    </row>
    <row r="7" spans="1:32" x14ac:dyDescent="0.25">
      <c r="A7" s="12">
        <v>6</v>
      </c>
      <c r="B7" s="11" t="s">
        <v>30</v>
      </c>
      <c r="C7" s="1" t="s">
        <v>26</v>
      </c>
      <c r="D7" s="1" t="s">
        <v>31</v>
      </c>
      <c r="E7" s="1" t="s">
        <v>10</v>
      </c>
      <c r="F7" s="1">
        <v>62100</v>
      </c>
      <c r="G7" s="1" t="s">
        <v>32</v>
      </c>
      <c r="H7" s="2">
        <v>41518</v>
      </c>
      <c r="I7" s="5" t="str">
        <f t="shared" si="1"/>
        <v>2013-09-01</v>
      </c>
      <c r="J7" s="1" t="s">
        <v>16</v>
      </c>
      <c r="K7" s="2">
        <v>35085</v>
      </c>
      <c r="L7" s="5" t="str">
        <f t="shared" si="2"/>
        <v>1996-01-21</v>
      </c>
      <c r="M7" s="1" t="s">
        <v>87</v>
      </c>
      <c r="N7" s="2" t="s">
        <v>89</v>
      </c>
      <c r="O7" s="17" t="s">
        <v>86</v>
      </c>
      <c r="P7" s="30">
        <f t="shared" si="0"/>
        <v>4</v>
      </c>
      <c r="Q7" s="4">
        <f t="shared" si="3"/>
        <v>2</v>
      </c>
      <c r="R7" s="4">
        <f t="shared" si="4"/>
        <v>1</v>
      </c>
      <c r="S7" s="1" t="str">
        <f t="shared" si="5"/>
        <v>INSERT INTO Stagiaire values(6,"vendraux","marc","5,rue de marseille","21-96-00-09","M","1996-01-21","2013-09-01",2,4,1);</v>
      </c>
      <c r="T7" s="39"/>
    </row>
    <row r="8" spans="1:32" x14ac:dyDescent="0.25">
      <c r="A8" s="12">
        <v>7</v>
      </c>
      <c r="B8" s="11" t="s">
        <v>33</v>
      </c>
      <c r="C8" s="1" t="s">
        <v>34</v>
      </c>
      <c r="D8" s="1" t="s">
        <v>35</v>
      </c>
      <c r="E8" s="1" t="s">
        <v>20</v>
      </c>
      <c r="F8" s="1">
        <v>62200</v>
      </c>
      <c r="G8" s="1" t="s">
        <v>36</v>
      </c>
      <c r="H8" s="2">
        <v>41883</v>
      </c>
      <c r="I8" s="5" t="str">
        <f t="shared" si="1"/>
        <v>2014-09-01</v>
      </c>
      <c r="J8" s="1" t="s">
        <v>11</v>
      </c>
      <c r="K8" s="2">
        <v>34788</v>
      </c>
      <c r="L8" s="5" t="str">
        <f t="shared" si="2"/>
        <v>1995-03-30</v>
      </c>
      <c r="M8" s="1" t="s">
        <v>88</v>
      </c>
      <c r="N8" s="1" t="s">
        <v>97</v>
      </c>
      <c r="O8" s="17" t="s">
        <v>86</v>
      </c>
      <c r="P8" s="30">
        <f t="shared" si="0"/>
        <v>5</v>
      </c>
      <c r="Q8" s="4">
        <f t="shared" si="3"/>
        <v>2</v>
      </c>
      <c r="R8" s="4">
        <f t="shared" si="4"/>
        <v>2</v>
      </c>
      <c r="S8" s="1" t="str">
        <f t="shared" si="5"/>
        <v>INSERT INTO Stagiaire values(7,"vendermaele","helene","456,rue de paris","21-45-45-60","F","1995-03-30","2014-09-01",2,5,2);</v>
      </c>
      <c r="T8" s="39"/>
    </row>
    <row r="9" spans="1:32" x14ac:dyDescent="0.25">
      <c r="A9" s="12">
        <v>8</v>
      </c>
      <c r="B9" s="11" t="s">
        <v>37</v>
      </c>
      <c r="C9" s="1" t="s">
        <v>38</v>
      </c>
      <c r="D9" s="1" t="s">
        <v>39</v>
      </c>
      <c r="E9" s="1" t="s">
        <v>40</v>
      </c>
      <c r="F9" s="1">
        <v>59300</v>
      </c>
      <c r="G9" s="1" t="s">
        <v>41</v>
      </c>
      <c r="H9" s="2">
        <v>41883</v>
      </c>
      <c r="I9" s="5" t="str">
        <f t="shared" si="1"/>
        <v>2014-09-01</v>
      </c>
      <c r="J9" s="1" t="s">
        <v>16</v>
      </c>
      <c r="K9" s="2">
        <v>34475</v>
      </c>
      <c r="L9" s="5" t="str">
        <f t="shared" si="2"/>
        <v>1994-05-21</v>
      </c>
      <c r="M9" s="1" t="s">
        <v>79</v>
      </c>
      <c r="N9" s="2" t="s">
        <v>94</v>
      </c>
      <c r="O9" s="17" t="s">
        <v>85</v>
      </c>
      <c r="P9" s="30">
        <f t="shared" si="0"/>
        <v>1</v>
      </c>
      <c r="Q9" s="4">
        <f t="shared" si="3"/>
        <v>1</v>
      </c>
      <c r="R9" s="4">
        <f t="shared" si="4"/>
        <v>3</v>
      </c>
      <c r="S9" s="1" t="str">
        <f t="shared" si="5"/>
        <v>INSERT INTO Stagiaire values(8,"besson","loic","3,allee carpentier","28-90-89-78","M","1994-05-21","2014-09-01",1,1,3);</v>
      </c>
      <c r="T9" s="39"/>
    </row>
    <row r="10" spans="1:32" x14ac:dyDescent="0.25">
      <c r="A10" s="12">
        <v>9</v>
      </c>
      <c r="B10" s="11" t="s">
        <v>42</v>
      </c>
      <c r="C10" s="1" t="s">
        <v>43</v>
      </c>
      <c r="D10" s="1" t="s">
        <v>44</v>
      </c>
      <c r="E10" s="1" t="s">
        <v>45</v>
      </c>
      <c r="F10" s="1">
        <v>59870</v>
      </c>
      <c r="G10" s="1" t="s">
        <v>46</v>
      </c>
      <c r="H10" s="2">
        <v>41518</v>
      </c>
      <c r="I10" s="5" t="str">
        <f t="shared" si="1"/>
        <v>2013-09-01</v>
      </c>
      <c r="J10" s="1" t="s">
        <v>16</v>
      </c>
      <c r="K10" s="2">
        <v>33981</v>
      </c>
      <c r="L10" s="5" t="str">
        <f t="shared" si="2"/>
        <v>1993-01-12</v>
      </c>
      <c r="M10" s="1" t="s">
        <v>79</v>
      </c>
      <c r="N10" s="1" t="s">
        <v>94</v>
      </c>
      <c r="O10" s="17" t="s">
        <v>85</v>
      </c>
      <c r="P10" s="30">
        <f t="shared" si="0"/>
        <v>1</v>
      </c>
      <c r="Q10" s="4">
        <f t="shared" si="3"/>
        <v>1</v>
      </c>
      <c r="R10" s="4">
        <f t="shared" si="4"/>
        <v>3</v>
      </c>
      <c r="S10" s="1" t="str">
        <f t="shared" si="5"/>
        <v>INSERT INTO Stagiaire values(9,"godart","jean-paul","123,rue de lens","28-09-87-65","M","1993-01-12","2013-09-01",1,1,3);</v>
      </c>
      <c r="T10" s="39"/>
    </row>
    <row r="11" spans="1:32" x14ac:dyDescent="0.25">
      <c r="A11" s="12">
        <v>10</v>
      </c>
      <c r="B11" s="11" t="s">
        <v>47</v>
      </c>
      <c r="C11" s="1" t="s">
        <v>48</v>
      </c>
      <c r="D11" s="1" t="s">
        <v>49</v>
      </c>
      <c r="E11" s="1" t="s">
        <v>40</v>
      </c>
      <c r="F11" s="1">
        <v>59100</v>
      </c>
      <c r="G11" s="1" t="s">
        <v>50</v>
      </c>
      <c r="H11" s="2">
        <v>41883</v>
      </c>
      <c r="I11" s="5" t="str">
        <f t="shared" si="1"/>
        <v>2014-09-01</v>
      </c>
      <c r="J11" s="1" t="s">
        <v>11</v>
      </c>
      <c r="K11" s="2">
        <v>35167</v>
      </c>
      <c r="L11" s="5" t="str">
        <f t="shared" si="2"/>
        <v>1996-04-12</v>
      </c>
      <c r="M11" s="1" t="s">
        <v>80</v>
      </c>
      <c r="N11" s="1" t="s">
        <v>97</v>
      </c>
      <c r="O11" s="17" t="s">
        <v>86</v>
      </c>
      <c r="P11" s="30">
        <f t="shared" si="0"/>
        <v>2</v>
      </c>
      <c r="Q11" s="4">
        <f t="shared" si="3"/>
        <v>2</v>
      </c>
      <c r="R11" s="4">
        <f t="shared" si="4"/>
        <v>2</v>
      </c>
      <c r="S11" s="1" t="str">
        <f t="shared" si="5"/>
        <v>INSERT INTO Stagiaire values(10,"beaux","marie","1,allee des cygnes","21-30-87-90","F","1996-04-12","2014-09-01",2,2,2);</v>
      </c>
      <c r="T11" s="39"/>
    </row>
    <row r="12" spans="1:32" x14ac:dyDescent="0.25">
      <c r="A12" s="12">
        <v>11</v>
      </c>
      <c r="B12" s="11" t="s">
        <v>51</v>
      </c>
      <c r="C12" s="1" t="s">
        <v>52</v>
      </c>
      <c r="D12" s="1" t="s">
        <v>53</v>
      </c>
      <c r="E12" s="1" t="s">
        <v>20</v>
      </c>
      <c r="F12" s="1">
        <v>62200</v>
      </c>
      <c r="G12" s="1" t="s">
        <v>54</v>
      </c>
      <c r="H12" s="2">
        <v>41883</v>
      </c>
      <c r="I12" s="5" t="str">
        <f t="shared" si="1"/>
        <v>2014-09-01</v>
      </c>
      <c r="J12" s="1" t="s">
        <v>11</v>
      </c>
      <c r="K12" s="2">
        <v>35263</v>
      </c>
      <c r="L12" s="5" t="str">
        <f t="shared" si="2"/>
        <v>1996-07-17</v>
      </c>
      <c r="M12" s="1" t="s">
        <v>79</v>
      </c>
      <c r="N12" s="1" t="s">
        <v>94</v>
      </c>
      <c r="O12" s="17" t="s">
        <v>86</v>
      </c>
      <c r="P12" s="30">
        <f t="shared" si="0"/>
        <v>1</v>
      </c>
      <c r="Q12" s="4">
        <f t="shared" si="3"/>
        <v>2</v>
      </c>
      <c r="R12" s="4">
        <f t="shared" si="4"/>
        <v>3</v>
      </c>
      <c r="S12" s="1" t="str">
        <f t="shared" si="5"/>
        <v>INSERT INTO Stagiaire values(11,"turini","elsa","12,route de paris","21-32-47-97","F","1996-07-17","2014-09-01",2,1,3);</v>
      </c>
      <c r="T12" s="39"/>
    </row>
    <row r="13" spans="1:32" x14ac:dyDescent="0.25">
      <c r="A13" s="12">
        <v>12</v>
      </c>
      <c r="B13" s="11" t="s">
        <v>55</v>
      </c>
      <c r="C13" s="1" t="s">
        <v>56</v>
      </c>
      <c r="D13" s="1" t="s">
        <v>57</v>
      </c>
      <c r="E13" s="1" t="s">
        <v>20</v>
      </c>
      <c r="F13" s="1">
        <v>62200</v>
      </c>
      <c r="G13" s="1" t="s">
        <v>58</v>
      </c>
      <c r="H13" s="2">
        <v>41883</v>
      </c>
      <c r="I13" s="5" t="str">
        <f t="shared" si="1"/>
        <v>2014-09-01</v>
      </c>
      <c r="J13" s="1" t="s">
        <v>11</v>
      </c>
      <c r="K13" s="2">
        <v>35536</v>
      </c>
      <c r="L13" s="5" t="str">
        <f t="shared" si="2"/>
        <v>1997-04-16</v>
      </c>
      <c r="M13" s="1" t="s">
        <v>81</v>
      </c>
      <c r="N13" s="2" t="s">
        <v>89</v>
      </c>
      <c r="O13" s="17" t="s">
        <v>85</v>
      </c>
      <c r="P13" s="30">
        <f t="shared" si="0"/>
        <v>3</v>
      </c>
      <c r="Q13" s="4">
        <f t="shared" si="3"/>
        <v>1</v>
      </c>
      <c r="R13" s="4">
        <f t="shared" si="4"/>
        <v>1</v>
      </c>
      <c r="S13" s="1" t="str">
        <f t="shared" si="5"/>
        <v>INSERT INTO Stagiaire values(12,"torelle","elise","123,vallee du denacre","21-67-86-90","F","1997-04-16","2014-09-01",1,3,1);</v>
      </c>
      <c r="T13" s="39"/>
    </row>
    <row r="14" spans="1:32" x14ac:dyDescent="0.25">
      <c r="A14" s="12">
        <v>13</v>
      </c>
      <c r="B14" s="11" t="s">
        <v>59</v>
      </c>
      <c r="C14" s="1" t="s">
        <v>60</v>
      </c>
      <c r="D14" s="1" t="s">
        <v>61</v>
      </c>
      <c r="E14" s="1" t="s">
        <v>10</v>
      </c>
      <c r="F14" s="1">
        <v>62100</v>
      </c>
      <c r="G14" s="1" t="s">
        <v>62</v>
      </c>
      <c r="H14" s="2">
        <v>41883</v>
      </c>
      <c r="I14" s="5" t="str">
        <f t="shared" si="1"/>
        <v>2014-09-01</v>
      </c>
      <c r="J14" s="1" t="s">
        <v>16</v>
      </c>
      <c r="K14" s="2">
        <v>35142</v>
      </c>
      <c r="L14" s="5" t="str">
        <f t="shared" si="2"/>
        <v>1996-03-18</v>
      </c>
      <c r="M14" s="1" t="s">
        <v>87</v>
      </c>
      <c r="N14" s="1" t="s">
        <v>89</v>
      </c>
      <c r="O14" s="17" t="s">
        <v>85</v>
      </c>
      <c r="P14" s="30">
        <f t="shared" si="0"/>
        <v>4</v>
      </c>
      <c r="Q14" s="4">
        <f t="shared" si="3"/>
        <v>1</v>
      </c>
      <c r="R14" s="4">
        <f t="shared" si="4"/>
        <v>1</v>
      </c>
      <c r="S14" s="1" t="str">
        <f t="shared" si="5"/>
        <v>INSERT INTO Stagiaire values(13,"pharis","pierre","12,avenue foch","21-21-85-90","M","1996-03-18","2014-09-01",1,4,1);</v>
      </c>
      <c r="T14" s="39"/>
    </row>
    <row r="15" spans="1:32" x14ac:dyDescent="0.25">
      <c r="A15" s="12">
        <v>14</v>
      </c>
      <c r="B15" s="11" t="s">
        <v>63</v>
      </c>
      <c r="C15" s="1" t="s">
        <v>18</v>
      </c>
      <c r="D15" s="1" t="s">
        <v>64</v>
      </c>
      <c r="E15" s="1" t="s">
        <v>10</v>
      </c>
      <c r="F15" s="1">
        <v>62100</v>
      </c>
      <c r="G15" s="1" t="s">
        <v>65</v>
      </c>
      <c r="H15" s="2">
        <v>41883</v>
      </c>
      <c r="I15" s="5" t="str">
        <f t="shared" si="1"/>
        <v>2014-09-01</v>
      </c>
      <c r="J15" s="1" t="s">
        <v>16</v>
      </c>
      <c r="K15" s="2">
        <v>34720</v>
      </c>
      <c r="L15" s="5" t="str">
        <f t="shared" si="2"/>
        <v>1995-01-21</v>
      </c>
      <c r="M15" s="8" t="s">
        <v>81</v>
      </c>
      <c r="N15" s="8" t="s">
        <v>100</v>
      </c>
      <c r="O15" s="17" t="s">
        <v>85</v>
      </c>
      <c r="P15" s="30">
        <f t="shared" si="0"/>
        <v>3</v>
      </c>
      <c r="Q15" s="4">
        <f t="shared" si="3"/>
        <v>1</v>
      </c>
      <c r="R15" s="4">
        <f t="shared" si="4"/>
        <v>4</v>
      </c>
      <c r="S15" s="1" t="str">
        <f t="shared" si="5"/>
        <v>INSERT INTO Stagiaire values(14,"ephyre","luc","12,rue de lyon","21-35-32-90","M","1995-01-21","2014-09-01",1,3,4);</v>
      </c>
      <c r="T15" s="39"/>
    </row>
    <row r="16" spans="1:32" x14ac:dyDescent="0.25">
      <c r="A16" s="12">
        <v>15</v>
      </c>
      <c r="B16" s="11" t="s">
        <v>66</v>
      </c>
      <c r="C16" s="1" t="s">
        <v>67</v>
      </c>
      <c r="D16" s="1" t="s">
        <v>68</v>
      </c>
      <c r="E16" s="1" t="s">
        <v>20</v>
      </c>
      <c r="F16" s="1">
        <v>62200</v>
      </c>
      <c r="G16" s="1" t="s">
        <v>69</v>
      </c>
      <c r="H16" s="2">
        <v>41883</v>
      </c>
      <c r="I16" s="5" t="str">
        <f t="shared" si="1"/>
        <v>2014-09-01</v>
      </c>
      <c r="J16" s="1" t="s">
        <v>16</v>
      </c>
      <c r="K16" s="2">
        <v>34473</v>
      </c>
      <c r="L16" s="5" t="str">
        <f t="shared" si="2"/>
        <v>1994-05-19</v>
      </c>
      <c r="M16" s="1" t="s">
        <v>81</v>
      </c>
      <c r="N16" s="1" t="s">
        <v>89</v>
      </c>
      <c r="O16" s="17" t="s">
        <v>86</v>
      </c>
      <c r="P16" s="30">
        <f t="shared" si="0"/>
        <v>3</v>
      </c>
      <c r="Q16" s="4">
        <f t="shared" si="3"/>
        <v>2</v>
      </c>
      <c r="R16" s="4">
        <f t="shared" si="4"/>
        <v>1</v>
      </c>
      <c r="S16" s="1" t="str">
        <f t="shared" si="5"/>
        <v>INSERT INTO Stagiaire values(15,"leclercq","jules","12,allee des ravins","21-36-71-92","M","1994-05-19","2014-09-01",2,3,1);</v>
      </c>
      <c r="T16" s="39"/>
    </row>
    <row r="17" spans="1:28" x14ac:dyDescent="0.25">
      <c r="A17" s="12">
        <v>16</v>
      </c>
      <c r="B17" s="11" t="s">
        <v>70</v>
      </c>
      <c r="C17" s="1" t="s">
        <v>18</v>
      </c>
      <c r="D17" s="1" t="s">
        <v>71</v>
      </c>
      <c r="E17" s="1" t="s">
        <v>10</v>
      </c>
      <c r="F17" s="1">
        <v>62200</v>
      </c>
      <c r="G17" s="1" t="s">
        <v>72</v>
      </c>
      <c r="H17" s="2">
        <v>41883</v>
      </c>
      <c r="I17" s="5" t="str">
        <f t="shared" si="1"/>
        <v>2014-09-01</v>
      </c>
      <c r="J17" s="1" t="s">
        <v>16</v>
      </c>
      <c r="K17" s="2">
        <v>35371</v>
      </c>
      <c r="L17" s="5" t="str">
        <f t="shared" si="2"/>
        <v>1996-11-02</v>
      </c>
      <c r="M17" s="1" t="s">
        <v>80</v>
      </c>
      <c r="N17" s="1" t="s">
        <v>97</v>
      </c>
      <c r="O17" s="17" t="s">
        <v>86</v>
      </c>
      <c r="P17" s="30">
        <f t="shared" si="0"/>
        <v>2</v>
      </c>
      <c r="Q17" s="4">
        <f t="shared" si="3"/>
        <v>2</v>
      </c>
      <c r="R17" s="4">
        <f t="shared" si="4"/>
        <v>2</v>
      </c>
      <c r="S17" s="1" t="str">
        <f t="shared" si="5"/>
        <v>INSERT INTO Stagiaire values(16,"dupont","luc","21,avenue monsigny","21-21-34-99","M","1996-11-02","2014-09-01",2,2,2);</v>
      </c>
      <c r="T17" s="39"/>
      <c r="AA17" t="s">
        <v>113</v>
      </c>
    </row>
    <row r="18" spans="1:28" x14ac:dyDescent="0.25">
      <c r="A18" s="12">
        <v>17</v>
      </c>
      <c r="B18" s="11" t="s">
        <v>73</v>
      </c>
      <c r="C18" s="1" t="s">
        <v>38</v>
      </c>
      <c r="D18" s="1" t="s">
        <v>74</v>
      </c>
      <c r="E18" s="1" t="s">
        <v>24</v>
      </c>
      <c r="F18" s="1">
        <v>62930</v>
      </c>
      <c r="G18" s="1" t="s">
        <v>75</v>
      </c>
      <c r="H18" s="2">
        <v>41883</v>
      </c>
      <c r="I18" s="5" t="str">
        <f t="shared" si="1"/>
        <v>2014-09-01</v>
      </c>
      <c r="J18" s="1" t="s">
        <v>16</v>
      </c>
      <c r="K18" s="2">
        <v>35381</v>
      </c>
      <c r="L18" s="5" t="str">
        <f t="shared" si="2"/>
        <v>1996-11-12</v>
      </c>
      <c r="M18" s="1" t="s">
        <v>88</v>
      </c>
      <c r="N18" s="1" t="s">
        <v>100</v>
      </c>
      <c r="O18" s="17" t="s">
        <v>85</v>
      </c>
      <c r="P18" s="30">
        <f t="shared" si="0"/>
        <v>5</v>
      </c>
      <c r="Q18" s="4">
        <f t="shared" si="3"/>
        <v>1</v>
      </c>
      <c r="R18" s="4">
        <f t="shared" si="4"/>
        <v>4</v>
      </c>
      <c r="S18" s="1" t="str">
        <f t="shared" si="5"/>
        <v>INSERT INTO Stagiaire values(17,"marke","loic","312,route de paris","21-87-87-71","M","1996-11-12","2014-09-01",1,5,4);</v>
      </c>
      <c r="T18" s="39"/>
      <c r="X18" s="22" t="s">
        <v>106</v>
      </c>
      <c r="Y18" s="36" t="s">
        <v>101</v>
      </c>
      <c r="Z18" s="43"/>
    </row>
    <row r="19" spans="1:28" x14ac:dyDescent="0.25">
      <c r="A19" s="12">
        <v>18</v>
      </c>
      <c r="B19" s="11" t="s">
        <v>76</v>
      </c>
      <c r="C19" s="1" t="s">
        <v>13</v>
      </c>
      <c r="D19" s="1" t="s">
        <v>77</v>
      </c>
      <c r="E19" s="1" t="s">
        <v>40</v>
      </c>
      <c r="F19" s="1">
        <v>59100</v>
      </c>
      <c r="G19" s="1" t="s">
        <v>78</v>
      </c>
      <c r="H19" s="2">
        <v>41883</v>
      </c>
      <c r="I19" s="5" t="str">
        <f t="shared" si="1"/>
        <v>2014-09-01</v>
      </c>
      <c r="J19" s="1" t="s">
        <v>16</v>
      </c>
      <c r="K19" s="2">
        <v>35523</v>
      </c>
      <c r="L19" s="5" t="str">
        <f t="shared" si="2"/>
        <v>1997-04-03</v>
      </c>
      <c r="M19" s="1" t="s">
        <v>80</v>
      </c>
      <c r="N19" s="1" t="s">
        <v>100</v>
      </c>
      <c r="O19" s="17" t="s">
        <v>85</v>
      </c>
      <c r="P19" s="30">
        <f t="shared" si="0"/>
        <v>2</v>
      </c>
      <c r="Q19" s="4">
        <f t="shared" si="3"/>
        <v>1</v>
      </c>
      <c r="R19" s="4">
        <f t="shared" si="4"/>
        <v>4</v>
      </c>
      <c r="S19" s="1" t="str">
        <f t="shared" si="5"/>
        <v>INSERT INTO Stagiaire values(18,"dewa","leon","121,allee des eglantines","28-30-87-90","M","1997-04-03","2014-09-01",1,2,4);</v>
      </c>
      <c r="T19" s="39"/>
      <c r="X19" s="28">
        <v>1</v>
      </c>
      <c r="Y19" s="1" t="s">
        <v>82</v>
      </c>
      <c r="Z19" s="39"/>
      <c r="AA19" t="str">
        <f>"INSERT INTO `groupe`(`idGroupe`, `nomGroupe`) VALUES ("&amp;X19&amp;","""&amp;Y19&amp;""");"</f>
        <v>INSERT INTO `groupe`(`idGroupe`, `nomGroupe`) VALUES (1,"Informatique");</v>
      </c>
    </row>
    <row r="20" spans="1:28" x14ac:dyDescent="0.25">
      <c r="X20" s="28">
        <v>2</v>
      </c>
      <c r="Y20" s="1" t="s">
        <v>83</v>
      </c>
      <c r="Z20" s="39"/>
      <c r="AA20" t="str">
        <f t="shared" ref="AA20:AA21" si="7">"INSERT INTO `groupe`(`idGroupe`, `nomGroupe`) VALUES ("&amp;X20&amp;","""&amp;Y20&amp;""");"</f>
        <v>INSERT INTO `groupe`(`idGroupe`, `nomGroupe`) VALUES (2,"Automatisme");</v>
      </c>
    </row>
    <row r="21" spans="1:28" x14ac:dyDescent="0.25">
      <c r="X21" s="28">
        <v>3</v>
      </c>
      <c r="Y21" s="1" t="s">
        <v>84</v>
      </c>
      <c r="Z21" s="39"/>
      <c r="AA21" t="str">
        <f t="shared" si="7"/>
        <v>INSERT INTO `groupe`(`idGroupe`, `nomGroupe`) VALUES (3,"Reseau");</v>
      </c>
    </row>
    <row r="25" spans="1:28" ht="15.75" thickBot="1" x14ac:dyDescent="0.3">
      <c r="B25">
        <v>2</v>
      </c>
      <c r="C25" s="14" t="s">
        <v>92</v>
      </c>
      <c r="D25" s="20" t="s">
        <v>105</v>
      </c>
      <c r="E25" s="36" t="s">
        <v>101</v>
      </c>
      <c r="F25" s="22" t="s">
        <v>106</v>
      </c>
      <c r="G25" s="37" t="s">
        <v>101</v>
      </c>
      <c r="H25" s="1"/>
      <c r="I25" s="39"/>
    </row>
    <row r="26" spans="1:28" ht="15.75" thickBot="1" x14ac:dyDescent="0.3">
      <c r="B26">
        <v>3</v>
      </c>
      <c r="C26" s="4" t="s">
        <v>79</v>
      </c>
      <c r="D26" s="29">
        <v>1</v>
      </c>
      <c r="E26" s="1" t="s">
        <v>83</v>
      </c>
      <c r="F26" s="28">
        <v>1</v>
      </c>
      <c r="G26" s="17" t="s">
        <v>82</v>
      </c>
      <c r="H26" s="1"/>
      <c r="I26" s="39"/>
      <c r="AB26" t="s">
        <v>111</v>
      </c>
    </row>
    <row r="27" spans="1:28" ht="15.75" thickBot="1" x14ac:dyDescent="0.3">
      <c r="B27">
        <v>1</v>
      </c>
      <c r="C27" s="1" t="s">
        <v>80</v>
      </c>
      <c r="D27" s="29">
        <v>2</v>
      </c>
      <c r="E27" s="1" t="s">
        <v>84</v>
      </c>
      <c r="F27" s="28">
        <v>2</v>
      </c>
      <c r="G27" s="17" t="s">
        <v>83</v>
      </c>
      <c r="H27" s="1"/>
      <c r="I27" s="39"/>
      <c r="X27" s="25" t="s">
        <v>108</v>
      </c>
      <c r="Y27" s="9" t="s">
        <v>109</v>
      </c>
      <c r="Z27" s="18"/>
      <c r="AA27" s="7" t="s">
        <v>110</v>
      </c>
    </row>
    <row r="28" spans="1:28" x14ac:dyDescent="0.25">
      <c r="B28">
        <v>1</v>
      </c>
      <c r="C28" s="1" t="s">
        <v>81</v>
      </c>
      <c r="D28" s="29">
        <v>3</v>
      </c>
      <c r="E28" s="1" t="s">
        <v>82</v>
      </c>
      <c r="F28" s="28">
        <v>3</v>
      </c>
      <c r="G28" s="17" t="s">
        <v>84</v>
      </c>
      <c r="H28" s="1"/>
      <c r="I28" s="39"/>
      <c r="X28" s="26">
        <v>1</v>
      </c>
      <c r="Y28" s="10" t="s">
        <v>95</v>
      </c>
      <c r="Z28" s="10"/>
      <c r="AA28" s="4" t="s">
        <v>89</v>
      </c>
      <c r="AB28" t="str">
        <f>"INSERT INTO `formateur`(`idFormateur`, `nomFormateur`, `prenomFormateur`) VALUES ("&amp; X28 &amp;", """&amp; Y28 &amp;""","""&amp; AA28 &amp;""");"</f>
        <v>INSERT INTO `formateur`(`idFormateur`, `nomFormateur`, `prenomFormateur`) VALUES (1, "Poix","Martine");</v>
      </c>
    </row>
    <row r="29" spans="1:28" x14ac:dyDescent="0.25">
      <c r="B29">
        <v>3</v>
      </c>
      <c r="C29" s="1" t="s">
        <v>87</v>
      </c>
      <c r="D29" s="29">
        <v>4</v>
      </c>
      <c r="E29" s="1" t="s">
        <v>82</v>
      </c>
      <c r="H29" s="1"/>
      <c r="I29" s="39"/>
      <c r="X29" s="26">
        <v>2</v>
      </c>
      <c r="Y29" s="11" t="s">
        <v>96</v>
      </c>
      <c r="Z29" s="11"/>
      <c r="AA29" s="1" t="s">
        <v>97</v>
      </c>
      <c r="AB29" t="str">
        <f t="shared" ref="AB29:AB31" si="8">"INSERT INTO `formateur`(`idFormateur`, `nomFormateur`, `prenomFormateur`) VALUES ("&amp; X29 &amp;", """&amp; Y29 &amp;""","""&amp; AA29 &amp;""");"</f>
        <v>INSERT INTO `formateur`(`idFormateur`, `nomFormateur`, `prenomFormateur`) VALUES (2, "Dubois","Thomas");</v>
      </c>
    </row>
    <row r="30" spans="1:28" x14ac:dyDescent="0.25">
      <c r="C30" s="1" t="s">
        <v>88</v>
      </c>
      <c r="D30" s="29">
        <v>5</v>
      </c>
      <c r="E30" s="1" t="s">
        <v>84</v>
      </c>
      <c r="H30" s="1"/>
      <c r="I30" s="39"/>
      <c r="X30" s="26">
        <v>3</v>
      </c>
      <c r="Y30" s="1" t="s">
        <v>98</v>
      </c>
      <c r="Z30" s="1"/>
      <c r="AA30" s="1" t="s">
        <v>94</v>
      </c>
      <c r="AB30" t="str">
        <f t="shared" si="8"/>
        <v>INSERT INTO `formateur`(`idFormateur`, `nomFormateur`, `prenomFormateur`) VALUES (3, "Butterdroghe","Hervé");</v>
      </c>
    </row>
    <row r="31" spans="1:28" x14ac:dyDescent="0.25">
      <c r="X31" s="26">
        <v>4</v>
      </c>
      <c r="Y31" s="1" t="s">
        <v>99</v>
      </c>
      <c r="Z31" s="1"/>
      <c r="AA31" s="1" t="s">
        <v>100</v>
      </c>
      <c r="AB31" t="str">
        <f t="shared" si="8"/>
        <v>INSERT INTO `formateur`(`idFormateur`, `nomFormateur`, `prenomFormateur`) VALUES (4, "Batzic","Jean Paul");</v>
      </c>
    </row>
    <row r="33" spans="1:27" ht="15.75" thickBot="1" x14ac:dyDescent="0.3"/>
    <row r="34" spans="1:27" x14ac:dyDescent="0.25">
      <c r="C34" s="41" t="s">
        <v>114</v>
      </c>
      <c r="D34" s="42" t="s">
        <v>115</v>
      </c>
      <c r="E34" t="s">
        <v>123</v>
      </c>
    </row>
    <row r="35" spans="1:27" ht="15.75" thickBot="1" x14ac:dyDescent="0.3">
      <c r="C35" s="1" t="s">
        <v>116</v>
      </c>
      <c r="D35" s="1">
        <v>1</v>
      </c>
      <c r="E35" t="str">
        <f>"INSERT INTO `matieres`(`idMatiere`, `nomMatiere`) VALUES ("&amp;D35&amp;","""&amp;C35&amp;""");"</f>
        <v>INSERT INTO `matieres`(`idMatiere`, `nomMatiere`) VALUES (1,"Algorithme");</v>
      </c>
      <c r="AA35" t="s">
        <v>112</v>
      </c>
    </row>
    <row r="36" spans="1:27" ht="15.75" thickBot="1" x14ac:dyDescent="0.3">
      <c r="C36" s="1" t="s">
        <v>117</v>
      </c>
      <c r="D36" s="1">
        <v>2</v>
      </c>
      <c r="E36" t="str">
        <f t="shared" ref="E36:E41" si="9">"INSERT INTO `matieres`(`idMatiere`, `nomMatiere`) VALUES ("&amp;D36&amp;","""&amp;C36&amp;""");"</f>
        <v>INSERT INTO `matieres`(`idMatiere`, `nomMatiere`) VALUES (2,"Anglais");</v>
      </c>
      <c r="X36" s="35" t="s">
        <v>107</v>
      </c>
      <c r="Y36" s="19" t="s">
        <v>103</v>
      </c>
      <c r="Z36" s="43"/>
    </row>
    <row r="37" spans="1:27" x14ac:dyDescent="0.25">
      <c r="C37" s="1" t="s">
        <v>118</v>
      </c>
      <c r="D37" s="1">
        <v>3</v>
      </c>
      <c r="E37" t="str">
        <f t="shared" si="9"/>
        <v>INSERT INTO `matieres`(`idMatiere`, `nomMatiere`) VALUES (3,"Java");</v>
      </c>
      <c r="X37" s="34">
        <v>1</v>
      </c>
      <c r="Y37" s="31" t="s">
        <v>85</v>
      </c>
      <c r="Z37" s="39"/>
      <c r="AA37" t="str">
        <f>"INSERT INTO `hebergement`(`idHebergement`, `nomHebergement`) VALUES ("&amp;X37&amp;","""&amp;Y37&amp;""");"</f>
        <v>INSERT INTO `hebergement`(`idHebergement`, `nomHebergement`) VALUES (1,"AFPA");</v>
      </c>
    </row>
    <row r="38" spans="1:27" ht="15.75" thickBot="1" x14ac:dyDescent="0.3">
      <c r="C38" s="1" t="s">
        <v>119</v>
      </c>
      <c r="D38" s="1">
        <v>4</v>
      </c>
      <c r="E38" t="str">
        <f t="shared" si="9"/>
        <v>INSERT INTO `matieres`(`idMatiere`, `nomMatiere`) VALUES (4,"PHP");</v>
      </c>
      <c r="X38" s="32">
        <v>2</v>
      </c>
      <c r="Y38" s="33" t="s">
        <v>86</v>
      </c>
      <c r="Z38" s="39"/>
      <c r="AA38" t="str">
        <f>"INSERT INTO `hebergement`(`idHebergement`, `nomHebergement`) VALUES ("&amp;X38&amp;","""&amp;Y38&amp;""");"</f>
        <v>INSERT INTO `hebergement`(`idHebergement`, `nomHebergement`) VALUES (2,"AUTRE");</v>
      </c>
    </row>
    <row r="39" spans="1:27" x14ac:dyDescent="0.25">
      <c r="C39" s="1" t="s">
        <v>120</v>
      </c>
      <c r="D39" s="1">
        <v>5</v>
      </c>
      <c r="E39" t="str">
        <f t="shared" si="9"/>
        <v>INSERT INTO `matieres`(`idMatiere`, `nomMatiere`) VALUES (5,"JavaScript");</v>
      </c>
    </row>
    <row r="40" spans="1:27" x14ac:dyDescent="0.25">
      <c r="C40" s="1" t="s">
        <v>121</v>
      </c>
      <c r="D40" s="1">
        <v>6</v>
      </c>
      <c r="E40" t="str">
        <f t="shared" si="9"/>
        <v>INSERT INTO `matieres`(`idMatiere`, `nomMatiere`) VALUES (6,"HTML&amp;CSS");</v>
      </c>
    </row>
    <row r="41" spans="1:27" x14ac:dyDescent="0.25">
      <c r="C41" s="1" t="s">
        <v>122</v>
      </c>
      <c r="D41" s="1">
        <v>7</v>
      </c>
      <c r="E41" t="str">
        <f t="shared" si="9"/>
        <v>INSERT INTO `matieres`(`idMatiere`, `nomMatiere`) VALUES (7,"MySql");</v>
      </c>
    </row>
    <row r="47" spans="1:27" x14ac:dyDescent="0.25">
      <c r="A47" t="s">
        <v>126</v>
      </c>
      <c r="B47" t="s">
        <v>127</v>
      </c>
      <c r="C47" t="s">
        <v>115</v>
      </c>
      <c r="D47" t="s">
        <v>128</v>
      </c>
    </row>
    <row r="48" spans="1:27" x14ac:dyDescent="0.25">
      <c r="A48">
        <v>1</v>
      </c>
      <c r="B48">
        <f ca="1">RANDBETWEEN(1,18)</f>
        <v>13</v>
      </c>
      <c r="C48">
        <f ca="1">RANDBETWEEN(1,7)</f>
        <v>1</v>
      </c>
      <c r="D48">
        <f ca="1">RANDBETWEEN(0,20)</f>
        <v>19</v>
      </c>
      <c r="F48" t="s">
        <v>126</v>
      </c>
      <c r="G48" t="s">
        <v>127</v>
      </c>
      <c r="H48" t="s">
        <v>115</v>
      </c>
      <c r="I48" t="s">
        <v>128</v>
      </c>
    </row>
    <row r="49" spans="1:11" x14ac:dyDescent="0.25">
      <c r="A49">
        <v>2</v>
      </c>
      <c r="B49">
        <f t="shared" ref="B49:B72" ca="1" si="10">RANDBETWEEN(1,18)</f>
        <v>6</v>
      </c>
      <c r="C49">
        <f t="shared" ref="C49:C72" ca="1" si="11">RANDBETWEEN(1,7)</f>
        <v>6</v>
      </c>
      <c r="D49">
        <f t="shared" ref="D49:D72" ca="1" si="12">RANDBETWEEN(0,20)</f>
        <v>10</v>
      </c>
      <c r="F49">
        <v>1</v>
      </c>
      <c r="G49">
        <v>15</v>
      </c>
      <c r="H49">
        <v>2</v>
      </c>
      <c r="I49">
        <v>4</v>
      </c>
      <c r="K49" t="str">
        <f>"INSERT INTO `suivre`(`idSuivre`, `idStagiaire`, `idMatiere`, `note`) VALUES ("&amp;F49&amp;","&amp;G49&amp;","&amp;H49&amp;","&amp;I49&amp;");"</f>
        <v>INSERT INTO `suivre`(`idSuivre`, `idStagiaire`, `idMatiere`, `note`) VALUES (1,15,2,4);</v>
      </c>
    </row>
    <row r="50" spans="1:11" x14ac:dyDescent="0.25">
      <c r="A50">
        <v>3</v>
      </c>
      <c r="B50">
        <f t="shared" ca="1" si="10"/>
        <v>1</v>
      </c>
      <c r="C50">
        <f t="shared" ca="1" si="11"/>
        <v>2</v>
      </c>
      <c r="D50">
        <f t="shared" ca="1" si="12"/>
        <v>15</v>
      </c>
      <c r="F50">
        <v>2</v>
      </c>
      <c r="G50">
        <v>5</v>
      </c>
      <c r="H50">
        <v>7</v>
      </c>
      <c r="I50">
        <v>12</v>
      </c>
      <c r="K50" t="str">
        <f t="shared" ref="K50:K70" si="13">"INSERT INTO `suivre`(`idSuivre`, `idStagiaire`, `idMatiere`, `note`) VALUES ("&amp;F50&amp;","&amp;G50&amp;","&amp;H50&amp;","&amp;I50&amp;");"</f>
        <v>INSERT INTO `suivre`(`idSuivre`, `idStagiaire`, `idMatiere`, `note`) VALUES (2,5,7,12);</v>
      </c>
    </row>
    <row r="51" spans="1:11" x14ac:dyDescent="0.25">
      <c r="A51">
        <v>4</v>
      </c>
      <c r="B51">
        <f t="shared" ca="1" si="10"/>
        <v>8</v>
      </c>
      <c r="C51">
        <f t="shared" ca="1" si="11"/>
        <v>2</v>
      </c>
      <c r="D51">
        <f t="shared" ca="1" si="12"/>
        <v>19</v>
      </c>
      <c r="F51">
        <v>3</v>
      </c>
      <c r="G51">
        <v>17</v>
      </c>
      <c r="H51">
        <v>4</v>
      </c>
      <c r="I51">
        <v>17</v>
      </c>
      <c r="K51" t="str">
        <f t="shared" si="13"/>
        <v>INSERT INTO `suivre`(`idSuivre`, `idStagiaire`, `idMatiere`, `note`) VALUES (3,17,4,17);</v>
      </c>
    </row>
    <row r="52" spans="1:11" x14ac:dyDescent="0.25">
      <c r="A52">
        <v>5</v>
      </c>
      <c r="B52">
        <f t="shared" ca="1" si="10"/>
        <v>9</v>
      </c>
      <c r="C52">
        <f t="shared" ca="1" si="11"/>
        <v>3</v>
      </c>
      <c r="D52">
        <f t="shared" ca="1" si="12"/>
        <v>19</v>
      </c>
      <c r="F52">
        <v>4</v>
      </c>
      <c r="G52">
        <v>5</v>
      </c>
      <c r="H52">
        <v>4</v>
      </c>
      <c r="I52">
        <v>10</v>
      </c>
      <c r="K52" t="str">
        <f t="shared" si="13"/>
        <v>INSERT INTO `suivre`(`idSuivre`, `idStagiaire`, `idMatiere`, `note`) VALUES (4,5,4,10);</v>
      </c>
    </row>
    <row r="53" spans="1:11" x14ac:dyDescent="0.25">
      <c r="A53">
        <v>6</v>
      </c>
      <c r="B53">
        <f t="shared" ca="1" si="10"/>
        <v>4</v>
      </c>
      <c r="C53">
        <f t="shared" ca="1" si="11"/>
        <v>1</v>
      </c>
      <c r="D53">
        <f t="shared" ca="1" si="12"/>
        <v>2</v>
      </c>
      <c r="F53">
        <v>5</v>
      </c>
      <c r="G53">
        <v>18</v>
      </c>
      <c r="H53">
        <v>2</v>
      </c>
      <c r="I53">
        <v>19</v>
      </c>
      <c r="K53" t="str">
        <f t="shared" si="13"/>
        <v>INSERT INTO `suivre`(`idSuivre`, `idStagiaire`, `idMatiere`, `note`) VALUES (5,18,2,19);</v>
      </c>
    </row>
    <row r="54" spans="1:11" x14ac:dyDescent="0.25">
      <c r="A54">
        <v>7</v>
      </c>
      <c r="B54">
        <f t="shared" ca="1" si="10"/>
        <v>3</v>
      </c>
      <c r="C54">
        <f t="shared" ca="1" si="11"/>
        <v>6</v>
      </c>
      <c r="D54">
        <f t="shared" ca="1" si="12"/>
        <v>11</v>
      </c>
      <c r="F54">
        <v>6</v>
      </c>
      <c r="G54">
        <v>3</v>
      </c>
      <c r="H54">
        <v>1</v>
      </c>
      <c r="I54">
        <v>20</v>
      </c>
      <c r="K54" t="str">
        <f t="shared" si="13"/>
        <v>INSERT INTO `suivre`(`idSuivre`, `idStagiaire`, `idMatiere`, `note`) VALUES (6,3,1,20);</v>
      </c>
    </row>
    <row r="55" spans="1:11" x14ac:dyDescent="0.25">
      <c r="A55">
        <v>8</v>
      </c>
      <c r="B55">
        <f t="shared" ca="1" si="10"/>
        <v>6</v>
      </c>
      <c r="C55">
        <f t="shared" ca="1" si="11"/>
        <v>2</v>
      </c>
      <c r="D55">
        <f t="shared" ca="1" si="12"/>
        <v>6</v>
      </c>
      <c r="F55">
        <v>7</v>
      </c>
      <c r="G55">
        <v>16</v>
      </c>
      <c r="H55">
        <v>2</v>
      </c>
      <c r="I55">
        <v>16</v>
      </c>
      <c r="K55" t="str">
        <f t="shared" si="13"/>
        <v>INSERT INTO `suivre`(`idSuivre`, `idStagiaire`, `idMatiere`, `note`) VALUES (7,16,2,16);</v>
      </c>
    </row>
    <row r="56" spans="1:11" x14ac:dyDescent="0.25">
      <c r="A56">
        <v>9</v>
      </c>
      <c r="B56">
        <f t="shared" ca="1" si="10"/>
        <v>17</v>
      </c>
      <c r="C56">
        <f t="shared" ca="1" si="11"/>
        <v>4</v>
      </c>
      <c r="D56">
        <f t="shared" ca="1" si="12"/>
        <v>14</v>
      </c>
      <c r="F56">
        <v>8</v>
      </c>
      <c r="G56">
        <v>2</v>
      </c>
      <c r="H56">
        <v>2</v>
      </c>
      <c r="I56">
        <v>7</v>
      </c>
      <c r="K56" t="str">
        <f t="shared" si="13"/>
        <v>INSERT INTO `suivre`(`idSuivre`, `idStagiaire`, `idMatiere`, `note`) VALUES (8,2,2,7);</v>
      </c>
    </row>
    <row r="57" spans="1:11" x14ac:dyDescent="0.25">
      <c r="A57">
        <v>10</v>
      </c>
      <c r="B57">
        <f t="shared" ca="1" si="10"/>
        <v>15</v>
      </c>
      <c r="C57">
        <f t="shared" ca="1" si="11"/>
        <v>1</v>
      </c>
      <c r="D57">
        <f t="shared" ca="1" si="12"/>
        <v>19</v>
      </c>
      <c r="F57">
        <v>10</v>
      </c>
      <c r="G57">
        <v>18</v>
      </c>
      <c r="H57">
        <v>4</v>
      </c>
      <c r="I57">
        <v>8</v>
      </c>
      <c r="K57" t="str">
        <f t="shared" si="13"/>
        <v>INSERT INTO `suivre`(`idSuivre`, `idStagiaire`, `idMatiere`, `note`) VALUES (10,18,4,8);</v>
      </c>
    </row>
    <row r="58" spans="1:11" x14ac:dyDescent="0.25">
      <c r="A58">
        <v>11</v>
      </c>
      <c r="B58">
        <f t="shared" ca="1" si="10"/>
        <v>11</v>
      </c>
      <c r="C58">
        <f t="shared" ca="1" si="11"/>
        <v>2</v>
      </c>
      <c r="D58">
        <f t="shared" ca="1" si="12"/>
        <v>20</v>
      </c>
      <c r="F58">
        <v>11</v>
      </c>
      <c r="G58">
        <v>10</v>
      </c>
      <c r="H58">
        <v>4</v>
      </c>
      <c r="I58">
        <v>19</v>
      </c>
      <c r="K58" t="str">
        <f t="shared" si="13"/>
        <v>INSERT INTO `suivre`(`idSuivre`, `idStagiaire`, `idMatiere`, `note`) VALUES (11,10,4,19);</v>
      </c>
    </row>
    <row r="59" spans="1:11" x14ac:dyDescent="0.25">
      <c r="A59">
        <v>12</v>
      </c>
      <c r="B59">
        <f t="shared" ca="1" si="10"/>
        <v>13</v>
      </c>
      <c r="C59">
        <f t="shared" ca="1" si="11"/>
        <v>6</v>
      </c>
      <c r="D59">
        <f t="shared" ca="1" si="12"/>
        <v>6</v>
      </c>
      <c r="F59">
        <v>12</v>
      </c>
      <c r="G59">
        <v>7</v>
      </c>
      <c r="H59">
        <v>7</v>
      </c>
      <c r="I59">
        <v>6</v>
      </c>
      <c r="K59" t="str">
        <f t="shared" si="13"/>
        <v>INSERT INTO `suivre`(`idSuivre`, `idStagiaire`, `idMatiere`, `note`) VALUES (12,7,7,6);</v>
      </c>
    </row>
    <row r="60" spans="1:11" x14ac:dyDescent="0.25">
      <c r="A60">
        <v>13</v>
      </c>
      <c r="B60">
        <f t="shared" ca="1" si="10"/>
        <v>18</v>
      </c>
      <c r="C60">
        <f t="shared" ca="1" si="11"/>
        <v>4</v>
      </c>
      <c r="D60">
        <f t="shared" ca="1" si="12"/>
        <v>0</v>
      </c>
      <c r="F60">
        <v>13</v>
      </c>
      <c r="G60">
        <v>9</v>
      </c>
      <c r="H60">
        <v>7</v>
      </c>
      <c r="I60">
        <v>9</v>
      </c>
      <c r="K60" t="str">
        <f t="shared" si="13"/>
        <v>INSERT INTO `suivre`(`idSuivre`, `idStagiaire`, `idMatiere`, `note`) VALUES (13,9,7,9);</v>
      </c>
    </row>
    <row r="61" spans="1:11" x14ac:dyDescent="0.25">
      <c r="A61">
        <v>14</v>
      </c>
      <c r="B61">
        <f t="shared" ca="1" si="10"/>
        <v>7</v>
      </c>
      <c r="C61">
        <f t="shared" ca="1" si="11"/>
        <v>3</v>
      </c>
      <c r="D61">
        <f t="shared" ca="1" si="12"/>
        <v>12</v>
      </c>
      <c r="F61">
        <v>14</v>
      </c>
      <c r="G61">
        <v>18</v>
      </c>
      <c r="H61">
        <v>3</v>
      </c>
      <c r="I61">
        <v>8</v>
      </c>
      <c r="K61" t="str">
        <f t="shared" si="13"/>
        <v>INSERT INTO `suivre`(`idSuivre`, `idStagiaire`, `idMatiere`, `note`) VALUES (14,18,3,8);</v>
      </c>
    </row>
    <row r="62" spans="1:11" x14ac:dyDescent="0.25">
      <c r="A62">
        <v>15</v>
      </c>
      <c r="B62">
        <f t="shared" ca="1" si="10"/>
        <v>10</v>
      </c>
      <c r="C62">
        <f t="shared" ca="1" si="11"/>
        <v>2</v>
      </c>
      <c r="D62">
        <f t="shared" ca="1" si="12"/>
        <v>13</v>
      </c>
      <c r="F62">
        <v>15</v>
      </c>
      <c r="G62">
        <v>9</v>
      </c>
      <c r="H62">
        <v>5</v>
      </c>
      <c r="I62">
        <v>18</v>
      </c>
      <c r="K62" t="str">
        <f t="shared" si="13"/>
        <v>INSERT INTO `suivre`(`idSuivre`, `idStagiaire`, `idMatiere`, `note`) VALUES (15,9,5,18);</v>
      </c>
    </row>
    <row r="63" spans="1:11" x14ac:dyDescent="0.25">
      <c r="A63">
        <v>16</v>
      </c>
      <c r="B63">
        <f t="shared" ca="1" si="10"/>
        <v>11</v>
      </c>
      <c r="C63">
        <f t="shared" ca="1" si="11"/>
        <v>1</v>
      </c>
      <c r="D63">
        <f t="shared" ca="1" si="12"/>
        <v>13</v>
      </c>
      <c r="F63">
        <v>16</v>
      </c>
      <c r="G63">
        <v>14</v>
      </c>
      <c r="H63">
        <v>1</v>
      </c>
      <c r="I63">
        <v>8</v>
      </c>
      <c r="K63" t="str">
        <f t="shared" si="13"/>
        <v>INSERT INTO `suivre`(`idSuivre`, `idStagiaire`, `idMatiere`, `note`) VALUES (16,14,1,8);</v>
      </c>
    </row>
    <row r="64" spans="1:11" x14ac:dyDescent="0.25">
      <c r="A64">
        <v>17</v>
      </c>
      <c r="B64">
        <f t="shared" ca="1" si="10"/>
        <v>15</v>
      </c>
      <c r="C64">
        <f t="shared" ca="1" si="11"/>
        <v>7</v>
      </c>
      <c r="D64">
        <f t="shared" ca="1" si="12"/>
        <v>8</v>
      </c>
      <c r="F64">
        <v>18</v>
      </c>
      <c r="G64">
        <v>17</v>
      </c>
      <c r="H64">
        <v>5</v>
      </c>
      <c r="I64">
        <v>13</v>
      </c>
      <c r="K64" t="str">
        <f t="shared" si="13"/>
        <v>INSERT INTO `suivre`(`idSuivre`, `idStagiaire`, `idMatiere`, `note`) VALUES (18,17,5,13);</v>
      </c>
    </row>
    <row r="65" spans="1:11" x14ac:dyDescent="0.25">
      <c r="A65">
        <v>18</v>
      </c>
      <c r="B65">
        <f t="shared" ca="1" si="10"/>
        <v>5</v>
      </c>
      <c r="C65">
        <f t="shared" ca="1" si="11"/>
        <v>3</v>
      </c>
      <c r="D65">
        <f t="shared" ca="1" si="12"/>
        <v>0</v>
      </c>
      <c r="F65">
        <v>19</v>
      </c>
      <c r="G65">
        <v>15</v>
      </c>
      <c r="H65">
        <v>3</v>
      </c>
      <c r="I65">
        <v>17</v>
      </c>
      <c r="K65" t="str">
        <f t="shared" si="13"/>
        <v>INSERT INTO `suivre`(`idSuivre`, `idStagiaire`, `idMatiere`, `note`) VALUES (19,15,3,17);</v>
      </c>
    </row>
    <row r="66" spans="1:11" x14ac:dyDescent="0.25">
      <c r="A66">
        <v>19</v>
      </c>
      <c r="B66">
        <f t="shared" ca="1" si="10"/>
        <v>13</v>
      </c>
      <c r="C66">
        <f t="shared" ca="1" si="11"/>
        <v>1</v>
      </c>
      <c r="D66">
        <f t="shared" ca="1" si="12"/>
        <v>7</v>
      </c>
      <c r="F66">
        <v>20</v>
      </c>
      <c r="G66">
        <v>4</v>
      </c>
      <c r="H66">
        <v>7</v>
      </c>
      <c r="I66">
        <v>12</v>
      </c>
      <c r="K66" t="str">
        <f t="shared" si="13"/>
        <v>INSERT INTO `suivre`(`idSuivre`, `idStagiaire`, `idMatiere`, `note`) VALUES (20,4,7,12);</v>
      </c>
    </row>
    <row r="67" spans="1:11" x14ac:dyDescent="0.25">
      <c r="A67">
        <v>20</v>
      </c>
      <c r="B67">
        <f t="shared" ca="1" si="10"/>
        <v>8</v>
      </c>
      <c r="C67">
        <f t="shared" ca="1" si="11"/>
        <v>5</v>
      </c>
      <c r="D67">
        <f t="shared" ca="1" si="12"/>
        <v>9</v>
      </c>
      <c r="F67">
        <v>21</v>
      </c>
      <c r="G67">
        <v>15</v>
      </c>
      <c r="H67">
        <v>6</v>
      </c>
      <c r="I67">
        <v>11</v>
      </c>
      <c r="K67" t="str">
        <f t="shared" si="13"/>
        <v>INSERT INTO `suivre`(`idSuivre`, `idStagiaire`, `idMatiere`, `note`) VALUES (21,15,6,11);</v>
      </c>
    </row>
    <row r="68" spans="1:11" x14ac:dyDescent="0.25">
      <c r="A68">
        <v>21</v>
      </c>
      <c r="B68">
        <f t="shared" ca="1" si="10"/>
        <v>10</v>
      </c>
      <c r="C68">
        <f t="shared" ca="1" si="11"/>
        <v>5</v>
      </c>
      <c r="D68">
        <f t="shared" ca="1" si="12"/>
        <v>16</v>
      </c>
      <c r="F68">
        <v>22</v>
      </c>
      <c r="G68">
        <v>8</v>
      </c>
      <c r="H68">
        <v>1</v>
      </c>
      <c r="I68">
        <v>1</v>
      </c>
      <c r="K68" t="str">
        <f t="shared" si="13"/>
        <v>INSERT INTO `suivre`(`idSuivre`, `idStagiaire`, `idMatiere`, `note`) VALUES (22,8,1,1);</v>
      </c>
    </row>
    <row r="69" spans="1:11" x14ac:dyDescent="0.25">
      <c r="A69">
        <v>22</v>
      </c>
      <c r="B69">
        <f t="shared" ca="1" si="10"/>
        <v>18</v>
      </c>
      <c r="C69">
        <f t="shared" ca="1" si="11"/>
        <v>2</v>
      </c>
      <c r="D69">
        <f t="shared" ca="1" si="12"/>
        <v>17</v>
      </c>
      <c r="F69">
        <v>23</v>
      </c>
      <c r="G69">
        <v>8</v>
      </c>
      <c r="H69">
        <v>5</v>
      </c>
      <c r="I69">
        <v>8</v>
      </c>
      <c r="K69" t="str">
        <f t="shared" si="13"/>
        <v>INSERT INTO `suivre`(`idSuivre`, `idStagiaire`, `idMatiere`, `note`) VALUES (23,8,5,8);</v>
      </c>
    </row>
    <row r="70" spans="1:11" x14ac:dyDescent="0.25">
      <c r="A70">
        <v>23</v>
      </c>
      <c r="B70">
        <f t="shared" ca="1" si="10"/>
        <v>2</v>
      </c>
      <c r="C70">
        <f t="shared" ca="1" si="11"/>
        <v>1</v>
      </c>
      <c r="D70">
        <f t="shared" ca="1" si="12"/>
        <v>9</v>
      </c>
      <c r="F70">
        <v>24</v>
      </c>
      <c r="G70">
        <v>1</v>
      </c>
      <c r="H70">
        <v>4</v>
      </c>
      <c r="I70">
        <v>8</v>
      </c>
      <c r="K70" t="str">
        <f t="shared" si="13"/>
        <v>INSERT INTO `suivre`(`idSuivre`, `idStagiaire`, `idMatiere`, `note`) VALUES (24,1,4,8);</v>
      </c>
    </row>
    <row r="71" spans="1:11" x14ac:dyDescent="0.25">
      <c r="A71">
        <v>24</v>
      </c>
      <c r="B71">
        <f t="shared" ca="1" si="10"/>
        <v>7</v>
      </c>
      <c r="C71">
        <f t="shared" ca="1" si="11"/>
        <v>6</v>
      </c>
      <c r="D71">
        <f t="shared" ca="1" si="12"/>
        <v>2</v>
      </c>
    </row>
    <row r="72" spans="1:11" x14ac:dyDescent="0.25">
      <c r="A72">
        <v>24</v>
      </c>
      <c r="B72">
        <f t="shared" ca="1" si="10"/>
        <v>4</v>
      </c>
      <c r="C72">
        <f t="shared" ca="1" si="11"/>
        <v>3</v>
      </c>
      <c r="D72">
        <f t="shared" ca="1" si="12"/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stagiaireafpa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Poix Martine</dc:creator>
  <cp:lastModifiedBy>59011-15-11</cp:lastModifiedBy>
  <dcterms:created xsi:type="dcterms:W3CDTF">2021-03-22T08:16:23Z</dcterms:created>
  <dcterms:modified xsi:type="dcterms:W3CDTF">2021-03-23T16:23:00Z</dcterms:modified>
</cp:coreProperties>
</file>