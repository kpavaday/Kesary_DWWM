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/>
  <mc:AlternateContent xmlns:mc="http://schemas.openxmlformats.org/markup-compatibility/2006">
    <mc:Choice Requires="x15">
      <x15ac:absPath xmlns:x15ac="http://schemas.microsoft.com/office/spreadsheetml/2010/11/ac" url="C:\repo_local\Kesary_DWWM\Kesary_DWWM\BDD\02 - Base de données\FICHIER EXCEL\"/>
    </mc:Choice>
  </mc:AlternateContent>
  <xr:revisionPtr revIDLastSave="0" documentId="13_ncr:1_{9583BA95-3685-4CD7-873B-E5121ADC18DB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stagiaireafpa" sheetId="1" r:id="rId1"/>
  </sheets>
  <calcPr calcId="191029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" i="1"/>
  <c r="H26" i="1"/>
  <c r="H27" i="1"/>
  <c r="H28" i="1"/>
  <c r="H29" i="1"/>
  <c r="H30" i="1"/>
  <c r="N2" i="1"/>
  <c r="U20" i="1"/>
  <c r="U21" i="1"/>
  <c r="U19" i="1"/>
  <c r="U38" i="1"/>
  <c r="U37" i="1" l="1"/>
  <c r="V29" i="1"/>
  <c r="V30" i="1"/>
  <c r="V31" i="1"/>
  <c r="V2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</calcChain>
</file>

<file path=xl/sharedStrings.xml><?xml version="1.0" encoding="utf-8"?>
<sst xmlns="http://schemas.openxmlformats.org/spreadsheetml/2006/main" count="250" uniqueCount="115">
  <si>
    <t>adresse</t>
  </si>
  <si>
    <t>ville</t>
  </si>
  <si>
    <t>codepostal</t>
  </si>
  <si>
    <t>telephone</t>
  </si>
  <si>
    <t>dateEntree</t>
  </si>
  <si>
    <t>sexe</t>
  </si>
  <si>
    <t>dateNaissance</t>
  </si>
  <si>
    <t>roblin</t>
  </si>
  <si>
    <t>lea</t>
  </si>
  <si>
    <t>12,bd de la liberte</t>
  </si>
  <si>
    <t>calais</t>
  </si>
  <si>
    <t>F</t>
  </si>
  <si>
    <t>macarthur</t>
  </si>
  <si>
    <t>leon</t>
  </si>
  <si>
    <t>121,bd gambetta</t>
  </si>
  <si>
    <t>21-30-65-09</t>
  </si>
  <si>
    <t>M</t>
  </si>
  <si>
    <t>minol</t>
  </si>
  <si>
    <t>luc</t>
  </si>
  <si>
    <t>9,rue des prairies</t>
  </si>
  <si>
    <t>boulogne</t>
  </si>
  <si>
    <t>21-30-20-10</t>
  </si>
  <si>
    <t>sophie</t>
  </si>
  <si>
    <t>12,rue des capucines</t>
  </si>
  <si>
    <t>wimereux</t>
  </si>
  <si>
    <t>21-89-04-30</t>
  </si>
  <si>
    <t>marc</t>
  </si>
  <si>
    <t>67,allee ronde</t>
  </si>
  <si>
    <t>marcq</t>
  </si>
  <si>
    <t>21-90-87-65</t>
  </si>
  <si>
    <t>vendraux</t>
  </si>
  <si>
    <t>5,rue de marseille</t>
  </si>
  <si>
    <t>21-96-00-09</t>
  </si>
  <si>
    <t>vendermaele</t>
  </si>
  <si>
    <t>helene</t>
  </si>
  <si>
    <t>456,rue de paris</t>
  </si>
  <si>
    <t>21-45-45-60</t>
  </si>
  <si>
    <t>besson</t>
  </si>
  <si>
    <t>loic</t>
  </si>
  <si>
    <t>3,allee carpentier</t>
  </si>
  <si>
    <t>dunkerque</t>
  </si>
  <si>
    <t>28-90-89-78</t>
  </si>
  <si>
    <t>godart</t>
  </si>
  <si>
    <t>jean-paul</t>
  </si>
  <si>
    <t>123,rue de lens</t>
  </si>
  <si>
    <t>marck</t>
  </si>
  <si>
    <t>28-09-87-65</t>
  </si>
  <si>
    <t>beaux</t>
  </si>
  <si>
    <t>marie</t>
  </si>
  <si>
    <t>1,allee des cygnes</t>
  </si>
  <si>
    <t>21-30-87-90</t>
  </si>
  <si>
    <t>turini</t>
  </si>
  <si>
    <t>elsa</t>
  </si>
  <si>
    <t>12,route de paris</t>
  </si>
  <si>
    <t>21-32-47-97</t>
  </si>
  <si>
    <t>torelle</t>
  </si>
  <si>
    <t>elise</t>
  </si>
  <si>
    <t>123,vallee du denacre</t>
  </si>
  <si>
    <t>21-67-86-90</t>
  </si>
  <si>
    <t>pharis</t>
  </si>
  <si>
    <t>pierre</t>
  </si>
  <si>
    <t>12,avenue foch</t>
  </si>
  <si>
    <t>21-21-85-90</t>
  </si>
  <si>
    <t>ephyre</t>
  </si>
  <si>
    <t>12,rue de lyon</t>
  </si>
  <si>
    <t>21-35-32-90</t>
  </si>
  <si>
    <t>leclercq</t>
  </si>
  <si>
    <t>jules</t>
  </si>
  <si>
    <t>12,allee des ravins</t>
  </si>
  <si>
    <t>21-36-71-92</t>
  </si>
  <si>
    <t>dupont</t>
  </si>
  <si>
    <t>21,avenue monsigny</t>
  </si>
  <si>
    <t>21-21-34-99</t>
  </si>
  <si>
    <t>marke</t>
  </si>
  <si>
    <t>312,route de paris</t>
  </si>
  <si>
    <t>21-87-87-71</t>
  </si>
  <si>
    <t>dewa</t>
  </si>
  <si>
    <t>121,allee des eglantines</t>
  </si>
  <si>
    <t>28-30-87-90</t>
  </si>
  <si>
    <t>TSAII</t>
  </si>
  <si>
    <t>TRTE</t>
  </si>
  <si>
    <t>DWWM</t>
  </si>
  <si>
    <t>Informatique</t>
  </si>
  <si>
    <t>Automatisme</t>
  </si>
  <si>
    <t>Reseau</t>
  </si>
  <si>
    <t>AFPA</t>
  </si>
  <si>
    <t>AUTRE</t>
  </si>
  <si>
    <t>CDA</t>
  </si>
  <si>
    <t>TSSR</t>
  </si>
  <si>
    <t>Martine</t>
  </si>
  <si>
    <t>nomStagiaire</t>
  </si>
  <si>
    <t>prenomStagiaire</t>
  </si>
  <si>
    <t>Formation</t>
  </si>
  <si>
    <t>Formateur</t>
  </si>
  <si>
    <t>Hervé</t>
  </si>
  <si>
    <t>Poix</t>
  </si>
  <si>
    <t>Dubois</t>
  </si>
  <si>
    <t>Thomas</t>
  </si>
  <si>
    <t>Butterdroghe</t>
  </si>
  <si>
    <t>Batzic</t>
  </si>
  <si>
    <t>Jean Paul</t>
  </si>
  <si>
    <t>Groupe</t>
  </si>
  <si>
    <t>Hébergement</t>
  </si>
  <si>
    <t>Hebergement</t>
  </si>
  <si>
    <t>idStagaire</t>
  </si>
  <si>
    <t>idFormation</t>
  </si>
  <si>
    <t>idGroupe</t>
  </si>
  <si>
    <t>idHebergement</t>
  </si>
  <si>
    <t>idFormateur</t>
  </si>
  <si>
    <t>nomFormateur</t>
  </si>
  <si>
    <t>prenomFormateur</t>
  </si>
  <si>
    <t>INSERT INTO `formateur`(`idFormateur`, `nomFormateur`, `prenomFormateur`) VALUES ([value-1],[value-2],[value-3])</t>
  </si>
  <si>
    <t>INSERT INTO `hebergement`(`idHebergement`, `nomHebergement`) VALUES ([value-1],[value-2])</t>
  </si>
  <si>
    <t>INSERT INTO `groupe`(`idGroupe`, `nomGroupe`) VALUES ([value-1],[value-2])</t>
  </si>
  <si>
    <t>numGroupe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</si>
</sst>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16" fillId="0" borderId="0" xfId="0" applyFont="1"/>
    <xf numFmtId="0" fontId="0" fillId="0" borderId="12" xfId="0" applyBorder="1"/>
    <xf numFmtId="14" fontId="0" fillId="0" borderId="12" xfId="0" applyNumberFormat="1" applyBorder="1"/>
    <xf numFmtId="0" fontId="16" fillId="0" borderId="13" xfId="0" applyFont="1" applyBorder="1"/>
    <xf numFmtId="0" fontId="16" fillId="0" borderId="14" xfId="0" applyFont="1" applyBorder="1"/>
    <xf numFmtId="0" fontId="0" fillId="33" borderId="10" xfId="0" applyFill="1" applyBorder="1"/>
    <xf numFmtId="0" fontId="16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16" fillId="0" borderId="18" xfId="0" applyFont="1" applyBorder="1"/>
    <xf numFmtId="0" fontId="16" fillId="0" borderId="19" xfId="0" applyFont="1" applyBorder="1"/>
    <xf numFmtId="0" fontId="0" fillId="0" borderId="20" xfId="0" applyBorder="1"/>
    <xf numFmtId="0" fontId="0" fillId="0" borderId="21" xfId="0" applyBorder="1"/>
    <xf numFmtId="0" fontId="16" fillId="0" borderId="22" xfId="0" applyFont="1" applyBorder="1"/>
    <xf numFmtId="0" fontId="16" fillId="0" borderId="23" xfId="0" applyFont="1" applyBorder="1"/>
    <xf numFmtId="0" fontId="16" fillId="33" borderId="18" xfId="0" applyFont="1" applyFill="1" applyBorder="1"/>
    <xf numFmtId="0" fontId="16" fillId="34" borderId="10" xfId="0" applyFont="1" applyFill="1" applyBorder="1"/>
    <xf numFmtId="0" fontId="16" fillId="35" borderId="10" xfId="0" applyFont="1" applyFill="1" applyBorder="1"/>
    <xf numFmtId="0" fontId="0" fillId="0" borderId="24" xfId="0" applyBorder="1"/>
    <xf numFmtId="0" fontId="0" fillId="0" borderId="25" xfId="0" applyBorder="1"/>
    <xf numFmtId="0" fontId="16" fillId="36" borderId="10" xfId="0" applyFont="1" applyFill="1" applyBorder="1"/>
    <xf numFmtId="0" fontId="0" fillId="36" borderId="10" xfId="0" applyFill="1" applyBorder="1"/>
    <xf numFmtId="0" fontId="0" fillId="34" borderId="10" xfId="0" applyFill="1" applyBorder="1"/>
    <xf numFmtId="0" fontId="0" fillId="35" borderId="10" xfId="0" applyFill="1" applyBorder="1"/>
    <xf numFmtId="0" fontId="0" fillId="33" borderId="12" xfId="0" applyFill="1" applyBorder="1"/>
    <xf numFmtId="0" fontId="16" fillId="0" borderId="12" xfId="0" applyFont="1" applyBorder="1"/>
    <xf numFmtId="0" fontId="0" fillId="0" borderId="26" xfId="0" applyBorder="1"/>
    <xf numFmtId="0" fontId="0" fillId="34" borderId="27" xfId="0" applyFill="1" applyBorder="1"/>
    <xf numFmtId="0" fontId="0" fillId="0" borderId="28" xfId="0" applyBorder="1"/>
    <xf numFmtId="0" fontId="0" fillId="34" borderId="29" xfId="0" applyFill="1" applyBorder="1"/>
    <xf numFmtId="0" fontId="16" fillId="34" borderId="11" xfId="0" applyFont="1" applyFill="1" applyBorder="1"/>
    <xf numFmtId="0" fontId="16" fillId="0" borderId="10" xfId="0" applyFont="1" applyBorder="1"/>
    <xf numFmtId="0" fontId="16" fillId="0" borderId="21" xfId="0" applyFont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8"/>
  <sheetViews>
    <sheetView tabSelected="1" topLeftCell="E1" workbookViewId="0">
      <selection activeCell="O5" sqref="O5"/>
    </sheetView>
  </sheetViews>
  <sheetFormatPr baseColWidth="10" defaultRowHeight="14.4" x14ac:dyDescent="0.3"/>
  <cols>
    <col min="2" max="2" width="12.88671875" bestFit="1" customWidth="1"/>
    <col min="3" max="3" width="15.6640625" bestFit="1" customWidth="1"/>
    <col min="4" max="4" width="22.5546875" bestFit="1" customWidth="1"/>
    <col min="5" max="5" width="14.77734375" customWidth="1"/>
    <col min="6" max="6" width="12.88671875" customWidth="1"/>
    <col min="7" max="7" width="17.21875" customWidth="1"/>
    <col min="8" max="8" width="13" customWidth="1"/>
    <col min="9" max="9" width="9" customWidth="1"/>
    <col min="10" max="10" width="13.88671875" bestFit="1" customWidth="1"/>
    <col min="11" max="11" width="11.88671875" customWidth="1"/>
    <col min="12" max="12" width="13.109375" customWidth="1"/>
    <col min="13" max="13" width="13.33203125" bestFit="1" customWidth="1"/>
    <col min="14" max="14" width="13.33203125" customWidth="1"/>
    <col min="15" max="15" width="14.77734375" customWidth="1"/>
    <col min="16" max="16" width="10.109375" bestFit="1" customWidth="1"/>
    <col min="17" max="17" width="14.88671875" customWidth="1"/>
    <col min="18" max="18" width="14.21875" customWidth="1"/>
    <col min="19" max="19" width="15.88671875" customWidth="1"/>
    <col min="20" max="20" width="20.33203125" customWidth="1"/>
    <col min="21" max="21" width="25.109375" customWidth="1"/>
    <col min="22" max="22" width="23.33203125" customWidth="1"/>
    <col min="23" max="23" width="14.44140625" customWidth="1"/>
    <col min="24" max="24" width="12.88671875" bestFit="1" customWidth="1"/>
    <col min="25" max="25" width="20.88671875" customWidth="1"/>
  </cols>
  <sheetData>
    <row r="1" spans="1:25" s="3" customFormat="1" ht="15" thickBot="1" x14ac:dyDescent="0.35">
      <c r="A1" s="14" t="s">
        <v>104</v>
      </c>
      <c r="B1" s="9" t="s">
        <v>90</v>
      </c>
      <c r="C1" s="6" t="s">
        <v>91</v>
      </c>
      <c r="D1" s="6" t="s">
        <v>0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92</v>
      </c>
      <c r="L1" s="6" t="s">
        <v>93</v>
      </c>
      <c r="M1" s="15" t="s">
        <v>102</v>
      </c>
      <c r="N1" s="14" t="s">
        <v>105</v>
      </c>
      <c r="P1" s="14" t="s">
        <v>92</v>
      </c>
      <c r="Q1" s="20" t="s">
        <v>105</v>
      </c>
      <c r="R1" s="15" t="s">
        <v>101</v>
      </c>
      <c r="S1" s="22" t="s">
        <v>106</v>
      </c>
      <c r="T1" s="18" t="s">
        <v>101</v>
      </c>
      <c r="U1" s="21" t="s">
        <v>107</v>
      </c>
      <c r="V1" s="18" t="s">
        <v>103</v>
      </c>
      <c r="W1" s="25" t="s">
        <v>108</v>
      </c>
      <c r="X1" s="9" t="s">
        <v>93</v>
      </c>
      <c r="Y1" s="7" t="s">
        <v>109</v>
      </c>
    </row>
    <row r="2" spans="1:25" x14ac:dyDescent="0.3">
      <c r="A2" s="13">
        <v>1</v>
      </c>
      <c r="B2" s="10" t="s">
        <v>7</v>
      </c>
      <c r="C2" s="4" t="s">
        <v>8</v>
      </c>
      <c r="D2" s="4" t="s">
        <v>9</v>
      </c>
      <c r="E2" s="4" t="s">
        <v>10</v>
      </c>
      <c r="F2" s="4">
        <v>62100</v>
      </c>
      <c r="G2" s="4">
        <v>21345678</v>
      </c>
      <c r="H2" s="5">
        <v>41883</v>
      </c>
      <c r="I2" s="4" t="s">
        <v>11</v>
      </c>
      <c r="J2" s="5">
        <v>34713</v>
      </c>
      <c r="K2" s="4" t="s">
        <v>88</v>
      </c>
      <c r="L2" s="4" t="s">
        <v>97</v>
      </c>
      <c r="M2" s="16" t="s">
        <v>86</v>
      </c>
      <c r="N2" s="30">
        <f>VLOOKUP(K2,$P$2:$Q$6,2,0)</f>
        <v>5</v>
      </c>
      <c r="O2">
        <f>VLOOKUP(T2,$R$2:$S$4,2,0)</f>
        <v>3</v>
      </c>
      <c r="P2" s="4" t="s">
        <v>79</v>
      </c>
      <c r="Q2" s="29">
        <v>1</v>
      </c>
      <c r="R2" s="16" t="s">
        <v>83</v>
      </c>
      <c r="S2" s="28">
        <v>1</v>
      </c>
      <c r="T2" s="23" t="s">
        <v>82</v>
      </c>
      <c r="U2" s="27">
        <v>1</v>
      </c>
      <c r="V2" s="23" t="s">
        <v>85</v>
      </c>
      <c r="W2" s="26">
        <v>1</v>
      </c>
      <c r="X2" s="10" t="s">
        <v>95</v>
      </c>
      <c r="Y2" s="4" t="s">
        <v>89</v>
      </c>
    </row>
    <row r="3" spans="1:25" x14ac:dyDescent="0.3">
      <c r="A3" s="12">
        <v>2</v>
      </c>
      <c r="B3" s="11" t="s">
        <v>12</v>
      </c>
      <c r="C3" s="1" t="s">
        <v>13</v>
      </c>
      <c r="D3" s="1" t="s">
        <v>14</v>
      </c>
      <c r="E3" s="1" t="s">
        <v>10</v>
      </c>
      <c r="F3" s="1">
        <v>62100</v>
      </c>
      <c r="G3" s="1" t="s">
        <v>15</v>
      </c>
      <c r="H3" s="2">
        <v>41883</v>
      </c>
      <c r="I3" s="1" t="s">
        <v>16</v>
      </c>
      <c r="J3" s="2">
        <v>34436</v>
      </c>
      <c r="K3" s="1" t="s">
        <v>81</v>
      </c>
      <c r="L3" s="1" t="s">
        <v>89</v>
      </c>
      <c r="M3" s="17" t="s">
        <v>86</v>
      </c>
      <c r="N3" s="30">
        <f>VLOOKUP(K3,$P$2:$Q$6,2,0)</f>
        <v>3</v>
      </c>
      <c r="O3">
        <f t="shared" ref="O3:O19" si="0">VLOOKUP(T3,$R$2:$S$4,2,0)</f>
        <v>1</v>
      </c>
      <c r="P3" s="1" t="s">
        <v>80</v>
      </c>
      <c r="Q3" s="29">
        <v>2</v>
      </c>
      <c r="R3" s="17" t="s">
        <v>84</v>
      </c>
      <c r="S3" s="28">
        <v>2</v>
      </c>
      <c r="T3" s="24" t="s">
        <v>83</v>
      </c>
      <c r="U3" s="27">
        <v>2</v>
      </c>
      <c r="V3" s="24" t="s">
        <v>86</v>
      </c>
      <c r="W3" s="26">
        <v>2</v>
      </c>
      <c r="X3" s="11" t="s">
        <v>96</v>
      </c>
      <c r="Y3" s="1" t="s">
        <v>97</v>
      </c>
    </row>
    <row r="4" spans="1:25" x14ac:dyDescent="0.3">
      <c r="A4" s="12">
        <v>3</v>
      </c>
      <c r="B4" s="11" t="s">
        <v>17</v>
      </c>
      <c r="C4" s="1" t="s">
        <v>18</v>
      </c>
      <c r="D4" s="1" t="s">
        <v>19</v>
      </c>
      <c r="E4" s="1" t="s">
        <v>20</v>
      </c>
      <c r="F4" s="1">
        <v>62200</v>
      </c>
      <c r="G4" s="1" t="s">
        <v>21</v>
      </c>
      <c r="H4" s="2">
        <v>41883</v>
      </c>
      <c r="I4" s="1" t="s">
        <v>16</v>
      </c>
      <c r="J4" s="2">
        <v>35501</v>
      </c>
      <c r="K4" s="1" t="s">
        <v>80</v>
      </c>
      <c r="L4" s="1" t="s">
        <v>97</v>
      </c>
      <c r="M4" s="17" t="s">
        <v>86</v>
      </c>
      <c r="N4" s="30">
        <f>VLOOKUP(K4,$P$2:$Q$6,2,0)</f>
        <v>2</v>
      </c>
      <c r="O4">
        <f t="shared" si="0"/>
        <v>2</v>
      </c>
      <c r="P4" s="1" t="s">
        <v>81</v>
      </c>
      <c r="Q4" s="29">
        <v>3</v>
      </c>
      <c r="R4" s="17" t="s">
        <v>82</v>
      </c>
      <c r="S4" s="28">
        <v>3</v>
      </c>
      <c r="T4" s="11" t="s">
        <v>84</v>
      </c>
      <c r="W4" s="26">
        <v>3</v>
      </c>
      <c r="X4" s="1" t="s">
        <v>98</v>
      </c>
      <c r="Y4" s="1" t="s">
        <v>94</v>
      </c>
    </row>
    <row r="5" spans="1:25" x14ac:dyDescent="0.3">
      <c r="A5" s="12">
        <v>4</v>
      </c>
      <c r="B5" s="11" t="s">
        <v>17</v>
      </c>
      <c r="C5" s="1" t="s">
        <v>22</v>
      </c>
      <c r="D5" s="1" t="s">
        <v>23</v>
      </c>
      <c r="E5" s="1" t="s">
        <v>24</v>
      </c>
      <c r="F5" s="1">
        <v>62930</v>
      </c>
      <c r="G5" s="1" t="s">
        <v>25</v>
      </c>
      <c r="H5" s="2">
        <v>41883</v>
      </c>
      <c r="I5" s="1" t="s">
        <v>11</v>
      </c>
      <c r="J5" s="2">
        <v>35145</v>
      </c>
      <c r="K5" s="8" t="s">
        <v>88</v>
      </c>
      <c r="L5" s="8" t="s">
        <v>100</v>
      </c>
      <c r="M5" s="17" t="s">
        <v>86</v>
      </c>
      <c r="N5" s="30">
        <f>VLOOKUP(K5,$P$2:$Q$6,2,0)</f>
        <v>5</v>
      </c>
      <c r="O5" t="e">
        <f t="shared" si="0"/>
        <v>#N/A</v>
      </c>
      <c r="P5" s="1" t="s">
        <v>87</v>
      </c>
      <c r="Q5" s="29">
        <v>4</v>
      </c>
      <c r="R5" s="1" t="s">
        <v>82</v>
      </c>
      <c r="W5" s="26">
        <v>4</v>
      </c>
      <c r="X5" s="1" t="s">
        <v>99</v>
      </c>
      <c r="Y5" s="1" t="s">
        <v>100</v>
      </c>
    </row>
    <row r="6" spans="1:25" x14ac:dyDescent="0.3">
      <c r="A6" s="12">
        <v>5</v>
      </c>
      <c r="B6" s="11" t="s">
        <v>17</v>
      </c>
      <c r="C6" s="1" t="s">
        <v>26</v>
      </c>
      <c r="D6" s="1" t="s">
        <v>27</v>
      </c>
      <c r="E6" s="1" t="s">
        <v>28</v>
      </c>
      <c r="F6" s="1">
        <v>62300</v>
      </c>
      <c r="G6" s="1" t="s">
        <v>29</v>
      </c>
      <c r="H6" s="2">
        <v>41883</v>
      </c>
      <c r="I6" s="1" t="s">
        <v>16</v>
      </c>
      <c r="J6" s="2">
        <v>34005</v>
      </c>
      <c r="K6" s="1" t="s">
        <v>81</v>
      </c>
      <c r="L6" s="1" t="s">
        <v>89</v>
      </c>
      <c r="M6" s="17" t="s">
        <v>86</v>
      </c>
      <c r="N6" s="30">
        <f>VLOOKUP(K6,$P$2:$Q$6,2,0)</f>
        <v>3</v>
      </c>
      <c r="O6" t="e">
        <f t="shared" si="0"/>
        <v>#N/A</v>
      </c>
      <c r="P6" s="1" t="s">
        <v>88</v>
      </c>
      <c r="Q6" s="29">
        <v>5</v>
      </c>
      <c r="R6" s="1" t="s">
        <v>84</v>
      </c>
    </row>
    <row r="7" spans="1:25" x14ac:dyDescent="0.3">
      <c r="A7" s="12">
        <v>6</v>
      </c>
      <c r="B7" s="11" t="s">
        <v>30</v>
      </c>
      <c r="C7" s="1" t="s">
        <v>26</v>
      </c>
      <c r="D7" s="1" t="s">
        <v>31</v>
      </c>
      <c r="E7" s="1" t="s">
        <v>10</v>
      </c>
      <c r="F7" s="1">
        <v>62100</v>
      </c>
      <c r="G7" s="1" t="s">
        <v>32</v>
      </c>
      <c r="H7" s="2">
        <v>41518</v>
      </c>
      <c r="I7" s="1" t="s">
        <v>16</v>
      </c>
      <c r="J7" s="2">
        <v>35085</v>
      </c>
      <c r="K7" s="1" t="s">
        <v>87</v>
      </c>
      <c r="L7" s="2" t="s">
        <v>89</v>
      </c>
      <c r="M7" s="17" t="s">
        <v>86</v>
      </c>
      <c r="N7" s="30">
        <f>VLOOKUP(K7,$P$2:$Q$6,2,0)</f>
        <v>4</v>
      </c>
      <c r="O7" t="e">
        <f t="shared" si="0"/>
        <v>#N/A</v>
      </c>
    </row>
    <row r="8" spans="1:25" x14ac:dyDescent="0.3">
      <c r="A8" s="12">
        <v>7</v>
      </c>
      <c r="B8" s="11" t="s">
        <v>33</v>
      </c>
      <c r="C8" s="1" t="s">
        <v>34</v>
      </c>
      <c r="D8" s="1" t="s">
        <v>35</v>
      </c>
      <c r="E8" s="1" t="s">
        <v>20</v>
      </c>
      <c r="F8" s="1">
        <v>62200</v>
      </c>
      <c r="G8" s="1" t="s">
        <v>36</v>
      </c>
      <c r="H8" s="2">
        <v>41883</v>
      </c>
      <c r="I8" s="1" t="s">
        <v>11</v>
      </c>
      <c r="J8" s="2">
        <v>34788</v>
      </c>
      <c r="K8" s="1" t="s">
        <v>88</v>
      </c>
      <c r="L8" s="1" t="s">
        <v>97</v>
      </c>
      <c r="M8" s="17" t="s">
        <v>86</v>
      </c>
      <c r="N8" s="30">
        <f>VLOOKUP(K8,$P$2:$Q$6,2,0)</f>
        <v>5</v>
      </c>
      <c r="O8" t="e">
        <f t="shared" si="0"/>
        <v>#N/A</v>
      </c>
    </row>
    <row r="9" spans="1:25" x14ac:dyDescent="0.3">
      <c r="A9" s="12">
        <v>8</v>
      </c>
      <c r="B9" s="11" t="s">
        <v>37</v>
      </c>
      <c r="C9" s="1" t="s">
        <v>38</v>
      </c>
      <c r="D9" s="1" t="s">
        <v>39</v>
      </c>
      <c r="E9" s="1" t="s">
        <v>40</v>
      </c>
      <c r="F9" s="1">
        <v>59300</v>
      </c>
      <c r="G9" s="1" t="s">
        <v>41</v>
      </c>
      <c r="H9" s="2">
        <v>41883</v>
      </c>
      <c r="I9" s="1" t="s">
        <v>16</v>
      </c>
      <c r="J9" s="2">
        <v>34475</v>
      </c>
      <c r="K9" s="1" t="s">
        <v>79</v>
      </c>
      <c r="L9" s="2" t="s">
        <v>94</v>
      </c>
      <c r="M9" s="17" t="s">
        <v>85</v>
      </c>
      <c r="N9" s="30">
        <f>VLOOKUP(K9,$P$2:$Q$6,2,0)</f>
        <v>1</v>
      </c>
      <c r="O9" t="e">
        <f t="shared" si="0"/>
        <v>#N/A</v>
      </c>
    </row>
    <row r="10" spans="1:25" x14ac:dyDescent="0.3">
      <c r="A10" s="12">
        <v>9</v>
      </c>
      <c r="B10" s="11" t="s">
        <v>42</v>
      </c>
      <c r="C10" s="1" t="s">
        <v>43</v>
      </c>
      <c r="D10" s="1" t="s">
        <v>44</v>
      </c>
      <c r="E10" s="1" t="s">
        <v>45</v>
      </c>
      <c r="F10" s="1">
        <v>59870</v>
      </c>
      <c r="G10" s="1" t="s">
        <v>46</v>
      </c>
      <c r="H10" s="2">
        <v>41518</v>
      </c>
      <c r="I10" s="1" t="s">
        <v>16</v>
      </c>
      <c r="J10" s="2">
        <v>33981</v>
      </c>
      <c r="K10" s="1" t="s">
        <v>79</v>
      </c>
      <c r="L10" s="1" t="s">
        <v>94</v>
      </c>
      <c r="M10" s="17" t="s">
        <v>85</v>
      </c>
      <c r="N10" s="30">
        <f>VLOOKUP(K10,$P$2:$Q$6,2,0)</f>
        <v>1</v>
      </c>
      <c r="O10" t="e">
        <f t="shared" si="0"/>
        <v>#N/A</v>
      </c>
    </row>
    <row r="11" spans="1:25" x14ac:dyDescent="0.3">
      <c r="A11" s="12">
        <v>10</v>
      </c>
      <c r="B11" s="11" t="s">
        <v>47</v>
      </c>
      <c r="C11" s="1" t="s">
        <v>48</v>
      </c>
      <c r="D11" s="1" t="s">
        <v>49</v>
      </c>
      <c r="E11" s="1" t="s">
        <v>40</v>
      </c>
      <c r="F11" s="1">
        <v>59100</v>
      </c>
      <c r="G11" s="1" t="s">
        <v>50</v>
      </c>
      <c r="H11" s="2">
        <v>41883</v>
      </c>
      <c r="I11" s="1" t="s">
        <v>11</v>
      </c>
      <c r="J11" s="2">
        <v>35167</v>
      </c>
      <c r="K11" s="1" t="s">
        <v>80</v>
      </c>
      <c r="L11" s="1" t="s">
        <v>97</v>
      </c>
      <c r="M11" s="17" t="s">
        <v>86</v>
      </c>
      <c r="N11" s="30">
        <f>VLOOKUP(K11,$P$2:$Q$6,2,0)</f>
        <v>2</v>
      </c>
      <c r="O11" t="e">
        <f t="shared" si="0"/>
        <v>#N/A</v>
      </c>
    </row>
    <row r="12" spans="1:25" x14ac:dyDescent="0.3">
      <c r="A12" s="12">
        <v>11</v>
      </c>
      <c r="B12" s="11" t="s">
        <v>51</v>
      </c>
      <c r="C12" s="1" t="s">
        <v>52</v>
      </c>
      <c r="D12" s="1" t="s">
        <v>53</v>
      </c>
      <c r="E12" s="1" t="s">
        <v>20</v>
      </c>
      <c r="F12" s="1">
        <v>62200</v>
      </c>
      <c r="G12" s="1" t="s">
        <v>54</v>
      </c>
      <c r="H12" s="2">
        <v>41883</v>
      </c>
      <c r="I12" s="1" t="s">
        <v>11</v>
      </c>
      <c r="J12" s="2">
        <v>35263</v>
      </c>
      <c r="K12" s="1" t="s">
        <v>79</v>
      </c>
      <c r="L12" s="1" t="s">
        <v>94</v>
      </c>
      <c r="M12" s="17" t="s">
        <v>86</v>
      </c>
      <c r="N12" s="30">
        <f>VLOOKUP(K12,$P$2:$Q$6,2,0)</f>
        <v>1</v>
      </c>
      <c r="O12" t="e">
        <f t="shared" si="0"/>
        <v>#N/A</v>
      </c>
    </row>
    <row r="13" spans="1:25" x14ac:dyDescent="0.3">
      <c r="A13" s="12">
        <v>12</v>
      </c>
      <c r="B13" s="11" t="s">
        <v>55</v>
      </c>
      <c r="C13" s="1" t="s">
        <v>56</v>
      </c>
      <c r="D13" s="1" t="s">
        <v>57</v>
      </c>
      <c r="E13" s="1" t="s">
        <v>20</v>
      </c>
      <c r="F13" s="1">
        <v>62200</v>
      </c>
      <c r="G13" s="1" t="s">
        <v>58</v>
      </c>
      <c r="H13" s="2">
        <v>41883</v>
      </c>
      <c r="I13" s="1" t="s">
        <v>11</v>
      </c>
      <c r="J13" s="2">
        <v>35536</v>
      </c>
      <c r="K13" s="1" t="s">
        <v>81</v>
      </c>
      <c r="L13" s="2" t="s">
        <v>89</v>
      </c>
      <c r="M13" s="17" t="s">
        <v>85</v>
      </c>
      <c r="N13" s="30">
        <f>VLOOKUP(K13,$P$2:$Q$6,2,0)</f>
        <v>3</v>
      </c>
      <c r="O13" t="e">
        <f t="shared" si="0"/>
        <v>#N/A</v>
      </c>
    </row>
    <row r="14" spans="1:25" x14ac:dyDescent="0.3">
      <c r="A14" s="12">
        <v>13</v>
      </c>
      <c r="B14" s="11" t="s">
        <v>59</v>
      </c>
      <c r="C14" s="1" t="s">
        <v>60</v>
      </c>
      <c r="D14" s="1" t="s">
        <v>61</v>
      </c>
      <c r="E14" s="1" t="s">
        <v>10</v>
      </c>
      <c r="F14" s="1">
        <v>62100</v>
      </c>
      <c r="G14" s="1" t="s">
        <v>62</v>
      </c>
      <c r="H14" s="2">
        <v>41883</v>
      </c>
      <c r="I14" s="1" t="s">
        <v>16</v>
      </c>
      <c r="J14" s="2">
        <v>35142</v>
      </c>
      <c r="K14" s="1" t="s">
        <v>87</v>
      </c>
      <c r="L14" s="1" t="s">
        <v>89</v>
      </c>
      <c r="M14" s="17" t="s">
        <v>85</v>
      </c>
      <c r="N14" s="30">
        <f>VLOOKUP(K14,$P$2:$Q$6,2,0)</f>
        <v>4</v>
      </c>
      <c r="O14" t="e">
        <f t="shared" si="0"/>
        <v>#N/A</v>
      </c>
    </row>
    <row r="15" spans="1:25" x14ac:dyDescent="0.3">
      <c r="A15" s="12">
        <v>14</v>
      </c>
      <c r="B15" s="11" t="s">
        <v>63</v>
      </c>
      <c r="C15" s="1" t="s">
        <v>18</v>
      </c>
      <c r="D15" s="1" t="s">
        <v>64</v>
      </c>
      <c r="E15" s="1" t="s">
        <v>10</v>
      </c>
      <c r="F15" s="1">
        <v>62100</v>
      </c>
      <c r="G15" s="1" t="s">
        <v>65</v>
      </c>
      <c r="H15" s="2">
        <v>41883</v>
      </c>
      <c r="I15" s="1" t="s">
        <v>16</v>
      </c>
      <c r="J15" s="2">
        <v>34720</v>
      </c>
      <c r="K15" s="8" t="s">
        <v>81</v>
      </c>
      <c r="L15" s="8" t="s">
        <v>100</v>
      </c>
      <c r="M15" s="17" t="s">
        <v>85</v>
      </c>
      <c r="N15" s="30">
        <f>VLOOKUP(K15,$P$2:$Q$6,2,0)</f>
        <v>3</v>
      </c>
      <c r="O15" t="e">
        <f t="shared" si="0"/>
        <v>#N/A</v>
      </c>
    </row>
    <row r="16" spans="1:25" x14ac:dyDescent="0.3">
      <c r="A16" s="12">
        <v>15</v>
      </c>
      <c r="B16" s="11" t="s">
        <v>66</v>
      </c>
      <c r="C16" s="1" t="s">
        <v>67</v>
      </c>
      <c r="D16" s="1" t="s">
        <v>68</v>
      </c>
      <c r="E16" s="1" t="s">
        <v>20</v>
      </c>
      <c r="F16" s="1">
        <v>62200</v>
      </c>
      <c r="G16" s="1" t="s">
        <v>69</v>
      </c>
      <c r="H16" s="2">
        <v>41883</v>
      </c>
      <c r="I16" s="1" t="s">
        <v>16</v>
      </c>
      <c r="J16" s="2">
        <v>34473</v>
      </c>
      <c r="K16" s="1" t="s">
        <v>81</v>
      </c>
      <c r="L16" s="1" t="s">
        <v>89</v>
      </c>
      <c r="M16" s="17" t="s">
        <v>86</v>
      </c>
      <c r="N16" s="30">
        <f>VLOOKUP(K16,$P$2:$Q$6,2,0)</f>
        <v>3</v>
      </c>
      <c r="O16" t="e">
        <f t="shared" si="0"/>
        <v>#N/A</v>
      </c>
    </row>
    <row r="17" spans="1:22" x14ac:dyDescent="0.3">
      <c r="A17" s="12">
        <v>16</v>
      </c>
      <c r="B17" s="11" t="s">
        <v>70</v>
      </c>
      <c r="C17" s="1" t="s">
        <v>18</v>
      </c>
      <c r="D17" s="1" t="s">
        <v>71</v>
      </c>
      <c r="E17" s="1" t="s">
        <v>10</v>
      </c>
      <c r="F17" s="1">
        <v>62200</v>
      </c>
      <c r="G17" s="1" t="s">
        <v>72</v>
      </c>
      <c r="H17" s="2">
        <v>41883</v>
      </c>
      <c r="I17" s="1" t="s">
        <v>16</v>
      </c>
      <c r="J17" s="2">
        <v>35371</v>
      </c>
      <c r="K17" s="1" t="s">
        <v>80</v>
      </c>
      <c r="L17" s="1" t="s">
        <v>97</v>
      </c>
      <c r="M17" s="17" t="s">
        <v>86</v>
      </c>
      <c r="N17" s="30">
        <f>VLOOKUP(K17,$P$2:$Q$6,2,0)</f>
        <v>2</v>
      </c>
      <c r="O17" t="e">
        <f t="shared" si="0"/>
        <v>#N/A</v>
      </c>
      <c r="U17" t="s">
        <v>113</v>
      </c>
    </row>
    <row r="18" spans="1:22" x14ac:dyDescent="0.3">
      <c r="A18" s="12">
        <v>17</v>
      </c>
      <c r="B18" s="11" t="s">
        <v>73</v>
      </c>
      <c r="C18" s="1" t="s">
        <v>38</v>
      </c>
      <c r="D18" s="1" t="s">
        <v>74</v>
      </c>
      <c r="E18" s="1" t="s">
        <v>24</v>
      </c>
      <c r="F18" s="1">
        <v>62930</v>
      </c>
      <c r="G18" s="1" t="s">
        <v>75</v>
      </c>
      <c r="H18" s="2">
        <v>41883</v>
      </c>
      <c r="I18" s="1" t="s">
        <v>16</v>
      </c>
      <c r="J18" s="2">
        <v>35381</v>
      </c>
      <c r="K18" s="1" t="s">
        <v>88</v>
      </c>
      <c r="L18" s="1" t="s">
        <v>100</v>
      </c>
      <c r="M18" s="17" t="s">
        <v>85</v>
      </c>
      <c r="N18" s="30">
        <f>VLOOKUP(K18,$P$2:$Q$6,2,0)</f>
        <v>5</v>
      </c>
      <c r="O18" t="e">
        <f t="shared" si="0"/>
        <v>#N/A</v>
      </c>
      <c r="S18" s="22" t="s">
        <v>106</v>
      </c>
      <c r="T18" s="36" t="s">
        <v>101</v>
      </c>
    </row>
    <row r="19" spans="1:22" x14ac:dyDescent="0.3">
      <c r="A19" s="12">
        <v>18</v>
      </c>
      <c r="B19" s="11" t="s">
        <v>76</v>
      </c>
      <c r="C19" s="1" t="s">
        <v>13</v>
      </c>
      <c r="D19" s="1" t="s">
        <v>77</v>
      </c>
      <c r="E19" s="1" t="s">
        <v>40</v>
      </c>
      <c r="F19" s="1">
        <v>59100</v>
      </c>
      <c r="G19" s="1" t="s">
        <v>78</v>
      </c>
      <c r="H19" s="2">
        <v>41883</v>
      </c>
      <c r="I19" s="1" t="s">
        <v>16</v>
      </c>
      <c r="J19" s="2">
        <v>35523</v>
      </c>
      <c r="K19" s="1" t="s">
        <v>80</v>
      </c>
      <c r="L19" s="1" t="s">
        <v>100</v>
      </c>
      <c r="M19" s="17" t="s">
        <v>85</v>
      </c>
      <c r="N19" s="30">
        <f>VLOOKUP(K19,$P$2:$Q$6,2,0)</f>
        <v>2</v>
      </c>
      <c r="O19">
        <f t="shared" si="0"/>
        <v>3</v>
      </c>
      <c r="S19" s="28">
        <v>1</v>
      </c>
      <c r="T19" s="1" t="s">
        <v>82</v>
      </c>
      <c r="U19" t="str">
        <f>"INSERT INTO `groupe`(`idGroupe`, `nomGroupe`) VALUES ("&amp;S19&amp;","""&amp;T19&amp;""");"</f>
        <v>INSERT INTO `groupe`(`idGroupe`, `nomGroupe`) VALUES (1,"Informatique");</v>
      </c>
    </row>
    <row r="20" spans="1:22" x14ac:dyDescent="0.3">
      <c r="S20" s="28">
        <v>2</v>
      </c>
      <c r="T20" s="1" t="s">
        <v>83</v>
      </c>
      <c r="U20" t="str">
        <f t="shared" ref="U20:U21" si="1">"INSERT INTO `groupe`(`idGroupe`, `nomGroupe`) VALUES ("&amp;S20&amp;","""&amp;T20&amp;""");"</f>
        <v>INSERT INTO `groupe`(`idGroupe`, `nomGroupe`) VALUES (2,"Automatisme");</v>
      </c>
    </row>
    <row r="21" spans="1:22" x14ac:dyDescent="0.3">
      <c r="S21" s="28">
        <v>3</v>
      </c>
      <c r="T21" s="1" t="s">
        <v>84</v>
      </c>
      <c r="U21" t="str">
        <f t="shared" si="1"/>
        <v>INSERT INTO `groupe`(`idGroupe`, `nomGroupe`) VALUES (3,"Reseau");</v>
      </c>
    </row>
    <row r="25" spans="1:22" ht="15" thickBot="1" x14ac:dyDescent="0.35">
      <c r="B25">
        <v>2</v>
      </c>
      <c r="C25" s="14" t="s">
        <v>92</v>
      </c>
      <c r="D25" s="20" t="s">
        <v>105</v>
      </c>
      <c r="E25" s="36" t="s">
        <v>101</v>
      </c>
      <c r="F25" s="22" t="s">
        <v>106</v>
      </c>
      <c r="G25" s="37" t="s">
        <v>101</v>
      </c>
      <c r="H25" s="1" t="s">
        <v>114</v>
      </c>
    </row>
    <row r="26" spans="1:22" ht="15" thickBot="1" x14ac:dyDescent="0.35">
      <c r="B26">
        <v>3</v>
      </c>
      <c r="C26" s="4" t="s">
        <v>79</v>
      </c>
      <c r="D26" s="29">
        <v>1</v>
      </c>
      <c r="E26" s="1" t="s">
        <v>83</v>
      </c>
      <c r="F26" s="28">
        <v>1</v>
      </c>
      <c r="G26" s="17" t="s">
        <v>82</v>
      </c>
      <c r="H26" s="1">
        <f>VLOOKUP(T2,$R$2:$S$4,2,0)</f>
        <v>3</v>
      </c>
      <c r="V26" t="s">
        <v>111</v>
      </c>
    </row>
    <row r="27" spans="1:22" ht="15" thickBot="1" x14ac:dyDescent="0.35">
      <c r="B27">
        <v>1</v>
      </c>
      <c r="C27" s="1" t="s">
        <v>80</v>
      </c>
      <c r="D27" s="29">
        <v>2</v>
      </c>
      <c r="E27" s="1" t="s">
        <v>84</v>
      </c>
      <c r="F27" s="28">
        <v>2</v>
      </c>
      <c r="G27" s="17" t="s">
        <v>83</v>
      </c>
      <c r="H27" s="1">
        <f t="shared" ref="H27:H30" si="2">VLOOKUP(T3,$R$2:$S$4,2,0)</f>
        <v>1</v>
      </c>
      <c r="S27" s="25" t="s">
        <v>108</v>
      </c>
      <c r="T27" s="9" t="s">
        <v>109</v>
      </c>
      <c r="U27" s="7" t="s">
        <v>110</v>
      </c>
    </row>
    <row r="28" spans="1:22" x14ac:dyDescent="0.3">
      <c r="B28">
        <v>1</v>
      </c>
      <c r="C28" s="1" t="s">
        <v>81</v>
      </c>
      <c r="D28" s="29">
        <v>3</v>
      </c>
      <c r="E28" s="1" t="s">
        <v>82</v>
      </c>
      <c r="F28" s="28">
        <v>3</v>
      </c>
      <c r="G28" s="17" t="s">
        <v>84</v>
      </c>
      <c r="H28" s="1">
        <f t="shared" si="2"/>
        <v>2</v>
      </c>
      <c r="S28" s="26">
        <v>1</v>
      </c>
      <c r="T28" s="10" t="s">
        <v>95</v>
      </c>
      <c r="U28" s="4" t="s">
        <v>89</v>
      </c>
      <c r="V28" t="str">
        <f>"INSERT INTO `formateur`(`idFormateur`, `nomFormateur`, `prenomFormateur`) VALUES ("&amp; S28 &amp;", """&amp; T28 &amp;""","""&amp; U28 &amp;""");"</f>
        <v>INSERT INTO `formateur`(`idFormateur`, `nomFormateur`, `prenomFormateur`) VALUES (1, "Poix","Martine");</v>
      </c>
    </row>
    <row r="29" spans="1:22" x14ac:dyDescent="0.3">
      <c r="B29">
        <v>3</v>
      </c>
      <c r="C29" s="1" t="s">
        <v>87</v>
      </c>
      <c r="D29" s="29">
        <v>4</v>
      </c>
      <c r="E29" s="1" t="s">
        <v>82</v>
      </c>
      <c r="H29" s="1" t="e">
        <f t="shared" si="2"/>
        <v>#N/A</v>
      </c>
      <c r="S29" s="26">
        <v>2</v>
      </c>
      <c r="T29" s="11" t="s">
        <v>96</v>
      </c>
      <c r="U29" s="1" t="s">
        <v>97</v>
      </c>
      <c r="V29" t="str">
        <f t="shared" ref="V29:V31" si="3">"INSERT INTO `formateur`(`idFormateur`, `nomFormateur`, `prenomFormateur`) VALUES ("&amp; S29 &amp;", """&amp; T29 &amp;""","""&amp; U29 &amp;""");"</f>
        <v>INSERT INTO `formateur`(`idFormateur`, `nomFormateur`, `prenomFormateur`) VALUES (2, "Dubois","Thomas");</v>
      </c>
    </row>
    <row r="30" spans="1:22" x14ac:dyDescent="0.3">
      <c r="C30" s="1" t="s">
        <v>88</v>
      </c>
      <c r="D30" s="29">
        <v>5</v>
      </c>
      <c r="E30" s="1" t="s">
        <v>84</v>
      </c>
      <c r="H30" s="1" t="e">
        <f t="shared" si="2"/>
        <v>#N/A</v>
      </c>
      <c r="S30" s="26">
        <v>3</v>
      </c>
      <c r="T30" s="1" t="s">
        <v>98</v>
      </c>
      <c r="U30" s="1" t="s">
        <v>94</v>
      </c>
      <c r="V30" t="str">
        <f t="shared" si="3"/>
        <v>INSERT INTO `formateur`(`idFormateur`, `nomFormateur`, `prenomFormateur`) VALUES (3, "Butterdroghe","Hervé");</v>
      </c>
    </row>
    <row r="31" spans="1:22" x14ac:dyDescent="0.3">
      <c r="S31" s="26">
        <v>4</v>
      </c>
      <c r="T31" s="1" t="s">
        <v>99</v>
      </c>
      <c r="U31" s="1" t="s">
        <v>100</v>
      </c>
      <c r="V31" t="str">
        <f t="shared" si="3"/>
        <v>INSERT INTO `formateur`(`idFormateur`, `nomFormateur`, `prenomFormateur`) VALUES (4, "Batzic","Jean Paul");</v>
      </c>
    </row>
    <row r="35" spans="19:21" ht="15" thickBot="1" x14ac:dyDescent="0.35">
      <c r="U35" t="s">
        <v>112</v>
      </c>
    </row>
    <row r="36" spans="19:21" ht="15" thickBot="1" x14ac:dyDescent="0.35">
      <c r="S36" s="35" t="s">
        <v>107</v>
      </c>
      <c r="T36" s="19" t="s">
        <v>103</v>
      </c>
    </row>
    <row r="37" spans="19:21" x14ac:dyDescent="0.3">
      <c r="S37" s="34">
        <v>1</v>
      </c>
      <c r="T37" s="31" t="s">
        <v>85</v>
      </c>
      <c r="U37" t="str">
        <f>"INSERT INTO `hebergement`(`idHebergement`, `nomHebergement`) VALUES ("&amp;S37&amp;","""&amp;T37&amp;""");"</f>
        <v>INSERT INTO `hebergement`(`idHebergement`, `nomHebergement`) VALUES (1,"AFPA");</v>
      </c>
    </row>
    <row r="38" spans="19:21" ht="15" thickBot="1" x14ac:dyDescent="0.35">
      <c r="S38" s="32">
        <v>2</v>
      </c>
      <c r="T38" s="33" t="s">
        <v>86</v>
      </c>
      <c r="U38" t="str">
        <f>"INSERT INTO `hebergement`(`idHebergement`, `nomHebergement`) VALUES ("&amp;S38&amp;","""&amp;T38&amp;""");"</f>
        <v>INSERT INTO `hebergement`(`idHebergement`, `nomHebergement`) VALUES (2,"AUTRE");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stagiaireafpa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Poix Martine</dc:creator>
  <cp:lastModifiedBy>Kesary</cp:lastModifiedBy>
  <dcterms:created xsi:type="dcterms:W3CDTF">2021-03-22T08:16:23Z</dcterms:created>
  <dcterms:modified xsi:type="dcterms:W3CDTF">2021-03-22T23:26:25Z</dcterms:modified>
</cp:coreProperties>
</file>